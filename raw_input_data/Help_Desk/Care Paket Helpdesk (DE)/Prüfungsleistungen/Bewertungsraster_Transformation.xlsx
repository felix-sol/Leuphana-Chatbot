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S:\Modul\WS 25_26\Prüfungsleistung\"/>
    </mc:Choice>
  </mc:AlternateContent>
  <xr:revisionPtr revIDLastSave="0" documentId="13_ncr:1_{2165706E-798B-4FB4-8F94-1C05DE09C017}" xr6:coauthVersionLast="47" xr6:coauthVersionMax="47" xr10:uidLastSave="{00000000-0000-0000-0000-000000000000}"/>
  <bookViews>
    <workbookView xWindow="-28920" yWindow="1725" windowWidth="29040" windowHeight="15720" firstSheet="3" activeTab="3" xr2:uid="{5334933F-D714-4161-930D-848B8C5EEE9E}"/>
  </bookViews>
  <sheets>
    <sheet name="Anleitung" sheetId="4" r:id="rId1"/>
    <sheet name="Uebung" sheetId="3" r:id="rId2"/>
    <sheet name="TN-Liste" sheetId="2" r:id="rId3"/>
    <sheet name="Bewertungen" sheetId="1" r:id="rId4"/>
    <sheet name="Stud1" sheetId="5" r:id="rId5"/>
    <sheet name="Stud2" sheetId="9" r:id="rId6"/>
    <sheet name="Stud3" sheetId="10" r:id="rId7"/>
    <sheet name="Stud4" sheetId="11" r:id="rId8"/>
    <sheet name="Stud5" sheetId="12" r:id="rId9"/>
    <sheet name="Stud6" sheetId="13" r:id="rId10"/>
    <sheet name="Stud7" sheetId="14" r:id="rId11"/>
    <sheet name="Stud8" sheetId="15" r:id="rId12"/>
    <sheet name="Stud9" sheetId="16" r:id="rId13"/>
    <sheet name="Stud10" sheetId="17" r:id="rId14"/>
    <sheet name="Stud11" sheetId="18" r:id="rId15"/>
    <sheet name="Stud12" sheetId="20" r:id="rId16"/>
    <sheet name="Stud13" sheetId="21" r:id="rId17"/>
    <sheet name="Stud14" sheetId="22" r:id="rId18"/>
    <sheet name="Stud15" sheetId="23" r:id="rId19"/>
    <sheet name="Stud16" sheetId="24" r:id="rId20"/>
    <sheet name="Stud17" sheetId="25" r:id="rId21"/>
    <sheet name="Stud18" sheetId="26" r:id="rId22"/>
    <sheet name="Stud19" sheetId="27" r:id="rId23"/>
    <sheet name="Stud20" sheetId="28" r:id="rId24"/>
    <sheet name="Stud21" sheetId="29" r:id="rId25"/>
    <sheet name="Stud22" sheetId="30" r:id="rId26"/>
    <sheet name="Stud23" sheetId="31" r:id="rId27"/>
    <sheet name="Stud24" sheetId="32" r:id="rId28"/>
    <sheet name="Stud25" sheetId="33" r:id="rId29"/>
    <sheet name="Stud26" sheetId="34" r:id="rId30"/>
    <sheet name="Stud27" sheetId="35" r:id="rId31"/>
    <sheet name="Stud28" sheetId="36" r:id="rId32"/>
    <sheet name="Stud29" sheetId="37" r:id="rId33"/>
    <sheet name="Stud30" sheetId="38" r:id="rId34"/>
    <sheet name="Stud31" sheetId="39" r:id="rId35"/>
    <sheet name="Stud32" sheetId="40" r:id="rId36"/>
    <sheet name="Stud33" sheetId="41" r:id="rId37"/>
    <sheet name="Stud34" sheetId="42" r:id="rId38"/>
    <sheet name="Stud35" sheetId="45" r:id="rId39"/>
    <sheet name="Stud36" sheetId="43" r:id="rId40"/>
    <sheet name="Stud37" sheetId="44" r:id="rId41"/>
    <sheet name="Stud38" sheetId="46" r:id="rId42"/>
    <sheet name="Stud39" sheetId="47" r:id="rId43"/>
    <sheet name="Stud40" sheetId="49" r:id="rId4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32" i="1" l="1"/>
  <c r="AI32" i="1"/>
  <c r="AJ32" i="1"/>
  <c r="AK32" i="1"/>
  <c r="AL32" i="1"/>
  <c r="C13" i="45" s="1"/>
  <c r="AM32" i="1"/>
  <c r="C13" i="43" s="1"/>
  <c r="AN32" i="1"/>
  <c r="C13" i="44" s="1"/>
  <c r="AO32" i="1"/>
  <c r="C13" i="46" s="1"/>
  <c r="AP32" i="1"/>
  <c r="AQ32" i="1"/>
  <c r="C19" i="49"/>
  <c r="C20" i="49"/>
  <c r="C21" i="49"/>
  <c r="C22" i="49"/>
  <c r="C23" i="49"/>
  <c r="C24" i="49"/>
  <c r="C25" i="49"/>
  <c r="C26" i="49"/>
  <c r="C27" i="49"/>
  <c r="C28" i="49"/>
  <c r="C29" i="49"/>
  <c r="C30" i="49"/>
  <c r="C31" i="49"/>
  <c r="C32" i="49"/>
  <c r="C33" i="49"/>
  <c r="C34" i="49"/>
  <c r="C35" i="49"/>
  <c r="C36" i="49"/>
  <c r="C18" i="49"/>
  <c r="C17" i="49"/>
  <c r="C13" i="49"/>
  <c r="C19" i="47"/>
  <c r="C20" i="47"/>
  <c r="C21" i="47"/>
  <c r="C22" i="47"/>
  <c r="C23" i="47"/>
  <c r="C24" i="47"/>
  <c r="C25" i="47"/>
  <c r="C26" i="47"/>
  <c r="C27" i="47"/>
  <c r="C28" i="47"/>
  <c r="C29" i="47"/>
  <c r="C30" i="47"/>
  <c r="C31" i="47"/>
  <c r="C32" i="47"/>
  <c r="C33" i="47"/>
  <c r="C34" i="47"/>
  <c r="C35" i="47"/>
  <c r="C36" i="47"/>
  <c r="C18" i="47"/>
  <c r="C17" i="47"/>
  <c r="C13" i="47"/>
  <c r="C19" i="46"/>
  <c r="C20" i="46"/>
  <c r="C21" i="46"/>
  <c r="C22" i="46"/>
  <c r="C23" i="46"/>
  <c r="C24" i="46"/>
  <c r="C25" i="46"/>
  <c r="C26" i="46"/>
  <c r="C27" i="46"/>
  <c r="C28" i="46"/>
  <c r="C29" i="46"/>
  <c r="C30" i="46"/>
  <c r="C31" i="46"/>
  <c r="C32" i="46"/>
  <c r="C33" i="46"/>
  <c r="C34" i="46"/>
  <c r="C35" i="46"/>
  <c r="C36" i="46"/>
  <c r="C18" i="46"/>
  <c r="C17" i="46"/>
  <c r="C19" i="44"/>
  <c r="C20" i="44"/>
  <c r="C21" i="44"/>
  <c r="C22" i="44"/>
  <c r="C23" i="44"/>
  <c r="C24" i="44"/>
  <c r="C25" i="44"/>
  <c r="C26" i="44"/>
  <c r="C27" i="44"/>
  <c r="C28" i="44"/>
  <c r="C29" i="44"/>
  <c r="C30" i="44"/>
  <c r="C31" i="44"/>
  <c r="C32" i="44"/>
  <c r="C33" i="44"/>
  <c r="C34" i="44"/>
  <c r="C35" i="44"/>
  <c r="C36" i="44"/>
  <c r="C18" i="44"/>
  <c r="C17" i="44"/>
  <c r="C19" i="43"/>
  <c r="C20" i="43"/>
  <c r="C21" i="43"/>
  <c r="C22" i="43"/>
  <c r="C23" i="43"/>
  <c r="C24" i="43"/>
  <c r="C25" i="43"/>
  <c r="C26" i="43"/>
  <c r="C27" i="43"/>
  <c r="C28" i="43"/>
  <c r="C29" i="43"/>
  <c r="C30" i="43"/>
  <c r="C31" i="43"/>
  <c r="C32" i="43"/>
  <c r="C33" i="43"/>
  <c r="C34" i="43"/>
  <c r="C35" i="43"/>
  <c r="C36" i="43"/>
  <c r="C18" i="43"/>
  <c r="C17" i="43"/>
  <c r="C19" i="45"/>
  <c r="C20" i="45"/>
  <c r="C21" i="45"/>
  <c r="C22" i="45"/>
  <c r="C23" i="45"/>
  <c r="C24" i="45"/>
  <c r="C25" i="45"/>
  <c r="C26" i="45"/>
  <c r="C27" i="45"/>
  <c r="C28" i="45"/>
  <c r="C29" i="45"/>
  <c r="C30" i="45"/>
  <c r="C31" i="45"/>
  <c r="C32" i="45"/>
  <c r="C33" i="45"/>
  <c r="C34" i="45"/>
  <c r="C35" i="45"/>
  <c r="C36" i="45"/>
  <c r="C18" i="45"/>
  <c r="C17" i="45"/>
  <c r="C19" i="42"/>
  <c r="C20" i="42"/>
  <c r="C21" i="42"/>
  <c r="C22" i="42"/>
  <c r="C23" i="42"/>
  <c r="C24" i="42"/>
  <c r="C25" i="42"/>
  <c r="C26" i="42"/>
  <c r="C27" i="42"/>
  <c r="C28" i="42"/>
  <c r="C29" i="42"/>
  <c r="C30" i="42"/>
  <c r="C31" i="42"/>
  <c r="C32" i="42"/>
  <c r="C33" i="42"/>
  <c r="C34" i="42"/>
  <c r="C35" i="42"/>
  <c r="C36" i="42"/>
  <c r="C18" i="42"/>
  <c r="C17" i="42"/>
  <c r="C13" i="42"/>
  <c r="C19" i="41"/>
  <c r="C20" i="41"/>
  <c r="C21" i="41"/>
  <c r="C22" i="41"/>
  <c r="C23" i="41"/>
  <c r="C24" i="41"/>
  <c r="C25" i="41"/>
  <c r="C26" i="41"/>
  <c r="C27" i="41"/>
  <c r="C28" i="41"/>
  <c r="C29" i="41"/>
  <c r="C30" i="41"/>
  <c r="C31" i="41"/>
  <c r="C32" i="41"/>
  <c r="C33" i="41"/>
  <c r="C34" i="41"/>
  <c r="C35" i="41"/>
  <c r="C36" i="41"/>
  <c r="C18" i="41"/>
  <c r="C17" i="41"/>
  <c r="C13" i="41"/>
  <c r="C19" i="40"/>
  <c r="C20" i="40"/>
  <c r="C21" i="40"/>
  <c r="C22" i="40"/>
  <c r="C23" i="40"/>
  <c r="C24" i="40"/>
  <c r="C25" i="40"/>
  <c r="C26" i="40"/>
  <c r="C27" i="40"/>
  <c r="C28" i="40"/>
  <c r="C29" i="40"/>
  <c r="C30" i="40"/>
  <c r="C31" i="40"/>
  <c r="C32" i="40"/>
  <c r="C33" i="40"/>
  <c r="C34" i="40"/>
  <c r="C35" i="40"/>
  <c r="C36" i="40"/>
  <c r="C18" i="40"/>
  <c r="C17" i="40"/>
  <c r="C13" i="40"/>
  <c r="C19" i="39"/>
  <c r="C20" i="39"/>
  <c r="C21" i="39"/>
  <c r="C22" i="39"/>
  <c r="C23" i="39"/>
  <c r="C24" i="39"/>
  <c r="C25" i="39"/>
  <c r="C26" i="39"/>
  <c r="C27" i="39"/>
  <c r="C28" i="39"/>
  <c r="C29" i="39"/>
  <c r="C30" i="39"/>
  <c r="C31" i="39"/>
  <c r="C32" i="39"/>
  <c r="C33" i="39"/>
  <c r="C34" i="39"/>
  <c r="C35" i="39"/>
  <c r="C36" i="39"/>
  <c r="C18" i="39"/>
  <c r="C17" i="39"/>
  <c r="C13" i="39"/>
  <c r="C19" i="38"/>
  <c r="C20" i="38"/>
  <c r="C21" i="38"/>
  <c r="C22" i="38"/>
  <c r="C23" i="38"/>
  <c r="C24" i="38"/>
  <c r="C25" i="38"/>
  <c r="C26" i="38"/>
  <c r="C27" i="38"/>
  <c r="C28" i="38"/>
  <c r="C29" i="38"/>
  <c r="C30" i="38"/>
  <c r="C31" i="38"/>
  <c r="C32" i="38"/>
  <c r="C33" i="38"/>
  <c r="C34" i="38"/>
  <c r="C35" i="38"/>
  <c r="C36" i="38"/>
  <c r="C18" i="38"/>
  <c r="C17" i="38"/>
  <c r="C19" i="37"/>
  <c r="C20" i="37"/>
  <c r="C21" i="37"/>
  <c r="C22" i="37"/>
  <c r="C23" i="37"/>
  <c r="C24" i="37"/>
  <c r="C25" i="37"/>
  <c r="C26" i="37"/>
  <c r="C27" i="37"/>
  <c r="C28" i="37"/>
  <c r="C29" i="37"/>
  <c r="C30" i="37"/>
  <c r="C31" i="37"/>
  <c r="C32" i="37"/>
  <c r="C33" i="37"/>
  <c r="C34" i="37"/>
  <c r="C35" i="37"/>
  <c r="C36" i="37"/>
  <c r="C18" i="37"/>
  <c r="C17" i="37"/>
  <c r="C19" i="36"/>
  <c r="C20" i="36"/>
  <c r="C21" i="36"/>
  <c r="C22" i="36"/>
  <c r="C23" i="36"/>
  <c r="C24" i="36"/>
  <c r="C25" i="36"/>
  <c r="C26" i="36"/>
  <c r="C27" i="36"/>
  <c r="C28" i="36"/>
  <c r="C29" i="36"/>
  <c r="C30" i="36"/>
  <c r="C31" i="36"/>
  <c r="C32" i="36"/>
  <c r="C33" i="36"/>
  <c r="C34" i="36"/>
  <c r="C35" i="36"/>
  <c r="C36" i="36"/>
  <c r="C18" i="36"/>
  <c r="C17" i="36"/>
  <c r="C19" i="35"/>
  <c r="C20" i="35"/>
  <c r="C21" i="35"/>
  <c r="C22" i="35"/>
  <c r="C23" i="35"/>
  <c r="C24" i="35"/>
  <c r="C25" i="35"/>
  <c r="C26" i="35"/>
  <c r="C27" i="35"/>
  <c r="C28" i="35"/>
  <c r="C29" i="35"/>
  <c r="C30" i="35"/>
  <c r="C31" i="35"/>
  <c r="C32" i="35"/>
  <c r="C33" i="35"/>
  <c r="C34" i="35"/>
  <c r="C35" i="35"/>
  <c r="C36" i="35"/>
  <c r="C18" i="35"/>
  <c r="C17" i="35"/>
  <c r="C19" i="34"/>
  <c r="C20" i="34"/>
  <c r="C21" i="34"/>
  <c r="C22" i="34"/>
  <c r="C23" i="34"/>
  <c r="C24" i="34"/>
  <c r="C25" i="34"/>
  <c r="C26" i="34"/>
  <c r="C27" i="34"/>
  <c r="C28" i="34"/>
  <c r="C29" i="34"/>
  <c r="C30" i="34"/>
  <c r="C31" i="34"/>
  <c r="C32" i="34"/>
  <c r="C33" i="34"/>
  <c r="C34" i="34"/>
  <c r="C35" i="34"/>
  <c r="C36" i="34"/>
  <c r="C18" i="34"/>
  <c r="C17" i="34"/>
  <c r="C19" i="33"/>
  <c r="C20" i="33"/>
  <c r="C21" i="33"/>
  <c r="C22" i="33"/>
  <c r="C23" i="33"/>
  <c r="C24" i="33"/>
  <c r="C25" i="33"/>
  <c r="C26" i="33"/>
  <c r="C27" i="33"/>
  <c r="C28" i="33"/>
  <c r="C29" i="33"/>
  <c r="C30" i="33"/>
  <c r="C31" i="33"/>
  <c r="C32" i="33"/>
  <c r="C33" i="33"/>
  <c r="C34" i="33"/>
  <c r="C35" i="33"/>
  <c r="C36" i="33"/>
  <c r="C18" i="33"/>
  <c r="C17" i="33"/>
  <c r="C19" i="32"/>
  <c r="C20" i="32"/>
  <c r="C21" i="32"/>
  <c r="C22" i="32"/>
  <c r="C23" i="32"/>
  <c r="C24" i="32"/>
  <c r="C25" i="32"/>
  <c r="C26" i="32"/>
  <c r="C27" i="32"/>
  <c r="C28" i="32"/>
  <c r="C29" i="32"/>
  <c r="C30" i="32"/>
  <c r="C31" i="32"/>
  <c r="C32" i="32"/>
  <c r="C33" i="32"/>
  <c r="C34" i="32"/>
  <c r="C35" i="32"/>
  <c r="C36" i="32"/>
  <c r="C18" i="32"/>
  <c r="C17" i="32"/>
  <c r="C19" i="31"/>
  <c r="C20" i="31"/>
  <c r="C21" i="31"/>
  <c r="C22" i="31"/>
  <c r="C23" i="31"/>
  <c r="C24" i="31"/>
  <c r="C25" i="31"/>
  <c r="C26" i="31"/>
  <c r="C27" i="31"/>
  <c r="C28" i="31"/>
  <c r="C29" i="31"/>
  <c r="C30" i="31"/>
  <c r="C31" i="31"/>
  <c r="C32" i="31"/>
  <c r="C33" i="31"/>
  <c r="C34" i="31"/>
  <c r="C35" i="31"/>
  <c r="C36" i="31"/>
  <c r="C18" i="31"/>
  <c r="C17" i="31"/>
  <c r="C18" i="30"/>
  <c r="C19" i="30"/>
  <c r="C20" i="30"/>
  <c r="C21" i="30"/>
  <c r="C22" i="30"/>
  <c r="C23" i="30"/>
  <c r="C24" i="30"/>
  <c r="C25" i="30"/>
  <c r="C26" i="30"/>
  <c r="C27" i="30"/>
  <c r="C28" i="30"/>
  <c r="C29" i="30"/>
  <c r="C30" i="30"/>
  <c r="C31" i="30"/>
  <c r="C32" i="30"/>
  <c r="C33" i="30"/>
  <c r="C34" i="30"/>
  <c r="C35" i="30"/>
  <c r="C36" i="30"/>
  <c r="C17" i="30"/>
  <c r="C19" i="29"/>
  <c r="C20" i="29"/>
  <c r="C21" i="29"/>
  <c r="C22" i="29"/>
  <c r="C23" i="29"/>
  <c r="C24" i="29"/>
  <c r="C25" i="29"/>
  <c r="C26" i="29"/>
  <c r="C27" i="29"/>
  <c r="C28" i="29"/>
  <c r="C29" i="29"/>
  <c r="C30" i="29"/>
  <c r="C31" i="29"/>
  <c r="C32" i="29"/>
  <c r="C33" i="29"/>
  <c r="C34" i="29"/>
  <c r="C35" i="29"/>
  <c r="C36" i="29"/>
  <c r="C18" i="29"/>
  <c r="C17" i="29"/>
  <c r="B3" i="49"/>
  <c r="B2" i="49"/>
  <c r="B1" i="49"/>
  <c r="C19" i="28"/>
  <c r="C20" i="28"/>
  <c r="C21" i="28"/>
  <c r="C22" i="28"/>
  <c r="C23" i="28"/>
  <c r="C24" i="28"/>
  <c r="C25" i="28"/>
  <c r="C26" i="28"/>
  <c r="C27" i="28"/>
  <c r="C28" i="28"/>
  <c r="C29" i="28"/>
  <c r="C30" i="28"/>
  <c r="C31" i="28"/>
  <c r="C32" i="28"/>
  <c r="C33" i="28"/>
  <c r="C34" i="28"/>
  <c r="C35" i="28"/>
  <c r="C36" i="28"/>
  <c r="C18" i="28"/>
  <c r="C17" i="28"/>
  <c r="C19" i="27"/>
  <c r="C20" i="27"/>
  <c r="C21" i="27"/>
  <c r="C22" i="27"/>
  <c r="C23" i="27"/>
  <c r="C24" i="27"/>
  <c r="C25" i="27"/>
  <c r="C26" i="27"/>
  <c r="C27" i="27"/>
  <c r="C28" i="27"/>
  <c r="C29" i="27"/>
  <c r="C30" i="27"/>
  <c r="C31" i="27"/>
  <c r="C32" i="27"/>
  <c r="C33" i="27"/>
  <c r="C34" i="27"/>
  <c r="C35" i="27"/>
  <c r="C36" i="27"/>
  <c r="C18" i="27"/>
  <c r="C17" i="27"/>
  <c r="C19" i="26"/>
  <c r="C20" i="26"/>
  <c r="C21" i="26"/>
  <c r="C22" i="26"/>
  <c r="C23" i="26"/>
  <c r="C24" i="26"/>
  <c r="C25" i="26"/>
  <c r="C26" i="26"/>
  <c r="C27" i="26"/>
  <c r="C28" i="26"/>
  <c r="C29" i="26"/>
  <c r="C30" i="26"/>
  <c r="C31" i="26"/>
  <c r="C32" i="26"/>
  <c r="C33" i="26"/>
  <c r="C34" i="26"/>
  <c r="C35" i="26"/>
  <c r="C36" i="26"/>
  <c r="C18" i="26"/>
  <c r="C17" i="26"/>
  <c r="C19" i="25"/>
  <c r="C20" i="25"/>
  <c r="C21" i="25"/>
  <c r="C22" i="25"/>
  <c r="C23" i="25"/>
  <c r="C24" i="25"/>
  <c r="C25" i="25"/>
  <c r="C26" i="25"/>
  <c r="C27" i="25"/>
  <c r="C28" i="25"/>
  <c r="C29" i="25"/>
  <c r="C30" i="25"/>
  <c r="C31" i="25"/>
  <c r="C32" i="25"/>
  <c r="C33" i="25"/>
  <c r="C34" i="25"/>
  <c r="C35" i="25"/>
  <c r="C36" i="25"/>
  <c r="C18" i="25"/>
  <c r="C17" i="25"/>
  <c r="C19" i="24"/>
  <c r="C20" i="24"/>
  <c r="C21" i="24"/>
  <c r="C22" i="24"/>
  <c r="C23" i="24"/>
  <c r="C24" i="24"/>
  <c r="C25" i="24"/>
  <c r="C26" i="24"/>
  <c r="C27" i="24"/>
  <c r="C28" i="24"/>
  <c r="C29" i="24"/>
  <c r="C30" i="24"/>
  <c r="C31" i="24"/>
  <c r="C32" i="24"/>
  <c r="C33" i="24"/>
  <c r="C34" i="24"/>
  <c r="C35" i="24"/>
  <c r="C36" i="24"/>
  <c r="C18" i="24"/>
  <c r="C17" i="24"/>
  <c r="C19" i="23"/>
  <c r="C20" i="23"/>
  <c r="C21" i="23"/>
  <c r="C22" i="23"/>
  <c r="C23" i="23"/>
  <c r="C24" i="23"/>
  <c r="C25" i="23"/>
  <c r="C26" i="23"/>
  <c r="C27" i="23"/>
  <c r="C28" i="23"/>
  <c r="C29" i="23"/>
  <c r="C30" i="23"/>
  <c r="C31" i="23"/>
  <c r="C32" i="23"/>
  <c r="C33" i="23"/>
  <c r="C34" i="23"/>
  <c r="C35" i="23"/>
  <c r="C36" i="23"/>
  <c r="C18" i="23"/>
  <c r="C17" i="23"/>
  <c r="C19" i="22"/>
  <c r="C20" i="22"/>
  <c r="C21" i="22"/>
  <c r="C22" i="22"/>
  <c r="C23" i="22"/>
  <c r="C24" i="22"/>
  <c r="C25" i="22"/>
  <c r="C26" i="22"/>
  <c r="C27" i="22"/>
  <c r="C28" i="22"/>
  <c r="C29" i="22"/>
  <c r="C30" i="22"/>
  <c r="C31" i="22"/>
  <c r="C32" i="22"/>
  <c r="C33" i="22"/>
  <c r="C34" i="22"/>
  <c r="C35" i="22"/>
  <c r="C36" i="22"/>
  <c r="C18" i="22"/>
  <c r="C17" i="22"/>
  <c r="C19" i="21"/>
  <c r="C20" i="21"/>
  <c r="C21" i="21"/>
  <c r="C22" i="21"/>
  <c r="C23" i="21"/>
  <c r="C24" i="21"/>
  <c r="C25" i="21"/>
  <c r="C26" i="21"/>
  <c r="C27" i="21"/>
  <c r="C28" i="21"/>
  <c r="C29" i="21"/>
  <c r="C30" i="21"/>
  <c r="C31" i="21"/>
  <c r="C32" i="21"/>
  <c r="C33" i="21"/>
  <c r="C34" i="21"/>
  <c r="C35" i="21"/>
  <c r="C36" i="21"/>
  <c r="C18" i="21"/>
  <c r="C17" i="21"/>
  <c r="C18" i="20"/>
  <c r="C19" i="20"/>
  <c r="C20" i="20"/>
  <c r="C21" i="20"/>
  <c r="C22" i="20"/>
  <c r="C23" i="20"/>
  <c r="C24" i="20"/>
  <c r="C25" i="20"/>
  <c r="C26" i="20"/>
  <c r="C27" i="20"/>
  <c r="C28" i="20"/>
  <c r="C29" i="20"/>
  <c r="C30" i="20"/>
  <c r="C31" i="20"/>
  <c r="C32" i="20"/>
  <c r="C33" i="20"/>
  <c r="C34" i="20"/>
  <c r="C35" i="20"/>
  <c r="C36" i="20"/>
  <c r="C17" i="20"/>
  <c r="C18" i="18"/>
  <c r="C19" i="18"/>
  <c r="C20" i="18"/>
  <c r="C21" i="18"/>
  <c r="C22" i="18"/>
  <c r="C23" i="18"/>
  <c r="C24" i="18"/>
  <c r="C25" i="18"/>
  <c r="C26" i="18"/>
  <c r="C27" i="18"/>
  <c r="C28" i="18"/>
  <c r="C29" i="18"/>
  <c r="C30" i="18"/>
  <c r="C31" i="18"/>
  <c r="C32" i="18"/>
  <c r="C33" i="18"/>
  <c r="C34" i="18"/>
  <c r="C35" i="18"/>
  <c r="C36" i="18"/>
  <c r="C17" i="18"/>
  <c r="C18" i="17"/>
  <c r="C19" i="17"/>
  <c r="C20" i="17"/>
  <c r="C21" i="17"/>
  <c r="C22" i="17"/>
  <c r="C23" i="17"/>
  <c r="C24" i="17"/>
  <c r="C25" i="17"/>
  <c r="C26" i="17"/>
  <c r="C27" i="17"/>
  <c r="C28" i="17"/>
  <c r="C29" i="17"/>
  <c r="C30" i="17"/>
  <c r="C31" i="17"/>
  <c r="C32" i="17"/>
  <c r="C33" i="17"/>
  <c r="C34" i="17"/>
  <c r="C35" i="17"/>
  <c r="C36" i="17"/>
  <c r="C17" i="17"/>
  <c r="C19" i="16"/>
  <c r="C20" i="16"/>
  <c r="C21" i="16"/>
  <c r="C22" i="16"/>
  <c r="C23" i="16"/>
  <c r="C24" i="16"/>
  <c r="C25" i="16"/>
  <c r="C26" i="16"/>
  <c r="C27" i="16"/>
  <c r="C28" i="16"/>
  <c r="C29" i="16"/>
  <c r="C30" i="16"/>
  <c r="C31" i="16"/>
  <c r="C32" i="16"/>
  <c r="C33" i="16"/>
  <c r="C34" i="16"/>
  <c r="C35" i="16"/>
  <c r="C36" i="16"/>
  <c r="C18" i="16"/>
  <c r="C17" i="16"/>
  <c r="C18" i="15"/>
  <c r="C19" i="15"/>
  <c r="C20" i="15"/>
  <c r="C21" i="15"/>
  <c r="C22" i="15"/>
  <c r="C23" i="15"/>
  <c r="C24" i="15"/>
  <c r="C25" i="15"/>
  <c r="C26" i="15"/>
  <c r="C27" i="15"/>
  <c r="C28" i="15"/>
  <c r="C29" i="15"/>
  <c r="C30" i="15"/>
  <c r="C31" i="15"/>
  <c r="C32" i="15"/>
  <c r="C33" i="15"/>
  <c r="C34" i="15"/>
  <c r="C35" i="15"/>
  <c r="C36" i="15"/>
  <c r="C17" i="15"/>
  <c r="C18" i="14"/>
  <c r="C19" i="14"/>
  <c r="C20" i="14"/>
  <c r="C21" i="14"/>
  <c r="C22" i="14"/>
  <c r="C23" i="14"/>
  <c r="C24" i="14"/>
  <c r="C25" i="14"/>
  <c r="C26" i="14"/>
  <c r="C27" i="14"/>
  <c r="C28" i="14"/>
  <c r="C29" i="14"/>
  <c r="C30" i="14"/>
  <c r="C31" i="14"/>
  <c r="C32" i="14"/>
  <c r="C33" i="14"/>
  <c r="C34" i="14"/>
  <c r="C35" i="14"/>
  <c r="C36" i="14"/>
  <c r="C17" i="14"/>
  <c r="C18" i="13"/>
  <c r="C19" i="13"/>
  <c r="C20" i="13"/>
  <c r="C21" i="13"/>
  <c r="C22" i="13"/>
  <c r="C23" i="13"/>
  <c r="C24" i="13"/>
  <c r="C25" i="13"/>
  <c r="C26" i="13"/>
  <c r="C27" i="13"/>
  <c r="C28" i="13"/>
  <c r="C29" i="13"/>
  <c r="C30" i="13"/>
  <c r="C31" i="13"/>
  <c r="C32" i="13"/>
  <c r="C33" i="13"/>
  <c r="C34" i="13"/>
  <c r="C35" i="13"/>
  <c r="C36" i="13"/>
  <c r="C17" i="13"/>
  <c r="C19" i="12"/>
  <c r="C20" i="12"/>
  <c r="C21" i="12"/>
  <c r="C22" i="12"/>
  <c r="C23" i="12"/>
  <c r="C24" i="12"/>
  <c r="C25" i="12"/>
  <c r="C26" i="12"/>
  <c r="C27" i="12"/>
  <c r="C28" i="12"/>
  <c r="C29" i="12"/>
  <c r="C30" i="12"/>
  <c r="C31" i="12"/>
  <c r="C32" i="12"/>
  <c r="C33" i="12"/>
  <c r="C34" i="12"/>
  <c r="C35" i="12"/>
  <c r="C36" i="12"/>
  <c r="C18" i="12"/>
  <c r="C17" i="12"/>
  <c r="C19" i="11"/>
  <c r="C20" i="11"/>
  <c r="C21" i="11"/>
  <c r="C22" i="11"/>
  <c r="C23" i="11"/>
  <c r="C24" i="11"/>
  <c r="C25" i="11"/>
  <c r="C26" i="11"/>
  <c r="C27" i="11"/>
  <c r="C28" i="11"/>
  <c r="C29" i="11"/>
  <c r="C30" i="11"/>
  <c r="C31" i="11"/>
  <c r="C32" i="11"/>
  <c r="C33" i="11"/>
  <c r="C34" i="11"/>
  <c r="C35" i="11"/>
  <c r="C36" i="11"/>
  <c r="C18" i="11"/>
  <c r="C17" i="11"/>
  <c r="C18" i="10"/>
  <c r="C19" i="10"/>
  <c r="C20" i="10"/>
  <c r="C21" i="10"/>
  <c r="C22" i="10"/>
  <c r="C23" i="10"/>
  <c r="C24" i="10"/>
  <c r="C25" i="10"/>
  <c r="C26" i="10"/>
  <c r="C27" i="10"/>
  <c r="C28" i="10"/>
  <c r="C29" i="10"/>
  <c r="C30" i="10"/>
  <c r="C31" i="10"/>
  <c r="C32" i="10"/>
  <c r="C33" i="10"/>
  <c r="C34" i="10"/>
  <c r="C35" i="10"/>
  <c r="C36" i="10"/>
  <c r="C17" i="10"/>
  <c r="C17" i="9"/>
  <c r="C18" i="9"/>
  <c r="C19" i="9"/>
  <c r="C20" i="9"/>
  <c r="C21" i="9"/>
  <c r="C22" i="9"/>
  <c r="C23" i="9"/>
  <c r="C24" i="9"/>
  <c r="C25" i="9"/>
  <c r="C26" i="9"/>
  <c r="C27" i="9"/>
  <c r="C28" i="9"/>
  <c r="C29" i="9"/>
  <c r="C30" i="9"/>
  <c r="C31" i="9"/>
  <c r="C32" i="9"/>
  <c r="C33" i="9"/>
  <c r="C34" i="9"/>
  <c r="C35" i="9"/>
  <c r="C36" i="9"/>
  <c r="B3" i="47"/>
  <c r="B2" i="47"/>
  <c r="B1" i="47"/>
  <c r="B3" i="46"/>
  <c r="B2" i="46"/>
  <c r="B1" i="46"/>
  <c r="B3" i="45"/>
  <c r="B2" i="45"/>
  <c r="B1" i="45"/>
  <c r="B3" i="44"/>
  <c r="B2" i="44"/>
  <c r="B1" i="44"/>
  <c r="B3" i="43"/>
  <c r="B2" i="43"/>
  <c r="B1" i="43"/>
  <c r="B3" i="42"/>
  <c r="B2" i="42"/>
  <c r="B1" i="42"/>
  <c r="B3" i="41"/>
  <c r="B2" i="41"/>
  <c r="B1" i="41"/>
  <c r="B3" i="40"/>
  <c r="B2" i="40"/>
  <c r="B1" i="40"/>
  <c r="B3" i="39"/>
  <c r="B2" i="39"/>
  <c r="B1" i="39"/>
  <c r="B3" i="38"/>
  <c r="B2" i="38"/>
  <c r="B1" i="38"/>
  <c r="B3" i="37"/>
  <c r="B2" i="37"/>
  <c r="B1" i="37"/>
  <c r="B3" i="36"/>
  <c r="B2" i="36"/>
  <c r="B1" i="36"/>
  <c r="B3" i="35"/>
  <c r="B2" i="35"/>
  <c r="B1" i="35"/>
  <c r="B3" i="34"/>
  <c r="B2" i="34"/>
  <c r="B1" i="34"/>
  <c r="B3" i="33"/>
  <c r="B2" i="33"/>
  <c r="B1" i="33"/>
  <c r="B3" i="32"/>
  <c r="B2" i="32"/>
  <c r="B1" i="32"/>
  <c r="B3" i="31"/>
  <c r="B2" i="31"/>
  <c r="B1" i="31"/>
  <c r="B3" i="30"/>
  <c r="B2" i="30"/>
  <c r="B1" i="30"/>
  <c r="B3" i="29"/>
  <c r="B2" i="29"/>
  <c r="B1" i="29"/>
  <c r="B3" i="28"/>
  <c r="B2" i="28"/>
  <c r="B1" i="28"/>
  <c r="B3" i="27"/>
  <c r="B2" i="27"/>
  <c r="B1" i="27"/>
  <c r="B3" i="26"/>
  <c r="B2" i="26"/>
  <c r="B1" i="26"/>
  <c r="B3" i="25"/>
  <c r="B2" i="25"/>
  <c r="B1" i="25"/>
  <c r="B3" i="24"/>
  <c r="B2" i="24"/>
  <c r="B1" i="24"/>
  <c r="B3" i="23"/>
  <c r="B2" i="23"/>
  <c r="B1" i="23"/>
  <c r="B3" i="22"/>
  <c r="B2" i="22"/>
  <c r="B1" i="22"/>
  <c r="B3" i="21"/>
  <c r="B2" i="21"/>
  <c r="B1" i="21"/>
  <c r="B3" i="20"/>
  <c r="B2" i="20"/>
  <c r="B1" i="20"/>
  <c r="B3" i="18"/>
  <c r="B2" i="18"/>
  <c r="B1" i="18"/>
  <c r="B3" i="17"/>
  <c r="B2" i="17"/>
  <c r="B1" i="17"/>
  <c r="B3" i="16"/>
  <c r="B2" i="16"/>
  <c r="B1" i="16"/>
  <c r="B3" i="15"/>
  <c r="B2" i="15"/>
  <c r="B1" i="15"/>
  <c r="B3" i="14"/>
  <c r="B2" i="14"/>
  <c r="B1" i="14"/>
  <c r="B3" i="13"/>
  <c r="B2" i="13"/>
  <c r="B1" i="13"/>
  <c r="B3" i="12"/>
  <c r="B2" i="12"/>
  <c r="B1" i="12"/>
  <c r="B3" i="11"/>
  <c r="B2" i="11"/>
  <c r="B1" i="11"/>
  <c r="B3" i="10"/>
  <c r="B2" i="10"/>
  <c r="B1" i="10"/>
  <c r="B3" i="9"/>
  <c r="B2" i="9"/>
  <c r="B1" i="9"/>
  <c r="C19" i="5"/>
  <c r="C20" i="5"/>
  <c r="C21" i="5"/>
  <c r="C22" i="5"/>
  <c r="C23" i="5"/>
  <c r="C24" i="5"/>
  <c r="C25" i="5"/>
  <c r="C26" i="5"/>
  <c r="C27" i="5"/>
  <c r="C28" i="5"/>
  <c r="C29" i="5"/>
  <c r="C30" i="5"/>
  <c r="C31" i="5"/>
  <c r="C32" i="5"/>
  <c r="C33" i="5"/>
  <c r="C34" i="5"/>
  <c r="C35" i="5"/>
  <c r="C36" i="5"/>
  <c r="C18" i="5"/>
  <c r="C17" i="5"/>
  <c r="B3" i="5"/>
  <c r="B2" i="5"/>
  <c r="B1" i="5"/>
  <c r="AQ8" i="1" l="1"/>
  <c r="B6" i="49" s="1"/>
  <c r="AQ7" i="1"/>
  <c r="B5" i="49" s="1"/>
  <c r="AP8" i="1"/>
  <c r="B6" i="47" s="1"/>
  <c r="AP7" i="1"/>
  <c r="B5" i="47" s="1"/>
  <c r="AO8" i="1"/>
  <c r="B6" i="46" s="1"/>
  <c r="AO7" i="1"/>
  <c r="B5" i="46" s="1"/>
  <c r="AN8" i="1"/>
  <c r="B6" i="44" s="1"/>
  <c r="AN7" i="1"/>
  <c r="B5" i="44" s="1"/>
  <c r="AM8" i="1"/>
  <c r="B6" i="43" s="1"/>
  <c r="AM7" i="1"/>
  <c r="B5" i="43" s="1"/>
  <c r="AL8" i="1"/>
  <c r="B6" i="45" s="1"/>
  <c r="AL7" i="1"/>
  <c r="B5" i="45" s="1"/>
  <c r="AK8" i="1"/>
  <c r="B6" i="42" s="1"/>
  <c r="AK7" i="1"/>
  <c r="B5" i="42" s="1"/>
  <c r="AJ8" i="1"/>
  <c r="B6" i="41" s="1"/>
  <c r="AJ7" i="1"/>
  <c r="B5" i="41" s="1"/>
  <c r="AI8" i="1"/>
  <c r="B6" i="40" s="1"/>
  <c r="AI7" i="1"/>
  <c r="B5" i="40" s="1"/>
  <c r="AH8" i="1"/>
  <c r="B6" i="39" s="1"/>
  <c r="AH7" i="1"/>
  <c r="B5" i="39" s="1"/>
  <c r="AG32" i="1" l="1"/>
  <c r="C13" i="38" s="1"/>
  <c r="AF32" i="1"/>
  <c r="C13" i="37" s="1"/>
  <c r="AE32" i="1"/>
  <c r="C13" i="36" s="1"/>
  <c r="AD32" i="1"/>
  <c r="C13" i="35" s="1"/>
  <c r="AC32" i="1"/>
  <c r="C13" i="34" s="1"/>
  <c r="AB32" i="1"/>
  <c r="C13" i="33" s="1"/>
  <c r="AA32" i="1"/>
  <c r="C13" i="32" s="1"/>
  <c r="Z32" i="1"/>
  <c r="Y32" i="1"/>
  <c r="X32" i="1"/>
  <c r="C13" i="29" s="1"/>
  <c r="W32" i="1"/>
  <c r="C13" i="28" s="1"/>
  <c r="V32" i="1"/>
  <c r="C13" i="27" s="1"/>
  <c r="U32" i="1"/>
  <c r="C13" i="26" s="1"/>
  <c r="T32" i="1"/>
  <c r="C13" i="25" s="1"/>
  <c r="S32" i="1"/>
  <c r="C13" i="24" s="1"/>
  <c r="R32" i="1"/>
  <c r="C13" i="23" s="1"/>
  <c r="Q32" i="1"/>
  <c r="C13" i="22" s="1"/>
  <c r="P32" i="1"/>
  <c r="C13" i="21" s="1"/>
  <c r="O32" i="1"/>
  <c r="C13" i="20" s="1"/>
  <c r="N32" i="1"/>
  <c r="C13" i="18" s="1"/>
  <c r="M32" i="1"/>
  <c r="C13" i="17" s="1"/>
  <c r="L32" i="1"/>
  <c r="C13" i="16" s="1"/>
  <c r="K32" i="1"/>
  <c r="C13" i="15" s="1"/>
  <c r="J32" i="1"/>
  <c r="C13" i="14" s="1"/>
  <c r="I32" i="1"/>
  <c r="C13" i="13" s="1"/>
  <c r="H32" i="1"/>
  <c r="C13" i="12" s="1"/>
  <c r="G32" i="1"/>
  <c r="C13" i="11" s="1"/>
  <c r="F32" i="1"/>
  <c r="C13" i="10" s="1"/>
  <c r="E32" i="1"/>
  <c r="C13" i="9" s="1"/>
  <c r="D32" i="1"/>
  <c r="C13" i="5" s="1"/>
  <c r="AG8" i="1"/>
  <c r="B6" i="38" s="1"/>
  <c r="AG7" i="1"/>
  <c r="B5" i="38" s="1"/>
  <c r="AF8" i="1"/>
  <c r="B6" i="37" s="1"/>
  <c r="AF7" i="1"/>
  <c r="B5" i="37" s="1"/>
  <c r="AE8" i="1"/>
  <c r="B6" i="36" s="1"/>
  <c r="AE7" i="1"/>
  <c r="B5" i="36" s="1"/>
  <c r="AD8" i="1"/>
  <c r="B6" i="35" s="1"/>
  <c r="AD7" i="1"/>
  <c r="B5" i="35" s="1"/>
  <c r="AC8" i="1"/>
  <c r="B6" i="34" s="1"/>
  <c r="AC7" i="1"/>
  <c r="B5" i="34" s="1"/>
  <c r="AB8" i="1"/>
  <c r="B6" i="33" s="1"/>
  <c r="AB7" i="1"/>
  <c r="B5" i="33" s="1"/>
  <c r="AA8" i="1"/>
  <c r="B6" i="32" s="1"/>
  <c r="AA7" i="1"/>
  <c r="B5" i="32" s="1"/>
  <c r="Z8" i="1"/>
  <c r="B6" i="31" s="1"/>
  <c r="Z7" i="1"/>
  <c r="B5" i="31" s="1"/>
  <c r="Y8" i="1"/>
  <c r="B6" i="30" s="1"/>
  <c r="Y7" i="1"/>
  <c r="B5" i="30" s="1"/>
  <c r="X8" i="1"/>
  <c r="B6" i="29" s="1"/>
  <c r="X7" i="1"/>
  <c r="B5" i="29" s="1"/>
  <c r="W8" i="1"/>
  <c r="B6" i="28" s="1"/>
  <c r="W7" i="1"/>
  <c r="B5" i="28" s="1"/>
  <c r="V8" i="1"/>
  <c r="B6" i="27" s="1"/>
  <c r="V7" i="1"/>
  <c r="B5" i="27" s="1"/>
  <c r="U8" i="1"/>
  <c r="B6" i="26" s="1"/>
  <c r="U7" i="1"/>
  <c r="B5" i="26" s="1"/>
  <c r="T8" i="1"/>
  <c r="B6" i="25" s="1"/>
  <c r="T7" i="1"/>
  <c r="B5" i="25" s="1"/>
  <c r="S8" i="1"/>
  <c r="B6" i="24" s="1"/>
  <c r="S7" i="1"/>
  <c r="B5" i="24" s="1"/>
  <c r="R8" i="1"/>
  <c r="B6" i="23" s="1"/>
  <c r="R7" i="1"/>
  <c r="B5" i="23" s="1"/>
  <c r="Q8" i="1"/>
  <c r="B6" i="22" s="1"/>
  <c r="Q7" i="1"/>
  <c r="B5" i="22" s="1"/>
  <c r="P8" i="1"/>
  <c r="B6" i="21" s="1"/>
  <c r="P7" i="1"/>
  <c r="B5" i="21" s="1"/>
  <c r="O8" i="1"/>
  <c r="B6" i="20" s="1"/>
  <c r="O7" i="1"/>
  <c r="B5" i="20" s="1"/>
  <c r="N8" i="1"/>
  <c r="B6" i="18" s="1"/>
  <c r="N7" i="1"/>
  <c r="B5" i="18" s="1"/>
  <c r="M8" i="1"/>
  <c r="B6" i="17" s="1"/>
  <c r="M7" i="1"/>
  <c r="B5" i="17" s="1"/>
  <c r="L8" i="1"/>
  <c r="B6" i="16" s="1"/>
  <c r="L7" i="1"/>
  <c r="B5" i="16" s="1"/>
  <c r="K8" i="1"/>
  <c r="B6" i="15" s="1"/>
  <c r="K7" i="1"/>
  <c r="B5" i="15" s="1"/>
  <c r="J8" i="1"/>
  <c r="B6" i="14" s="1"/>
  <c r="J7" i="1"/>
  <c r="B5" i="14" s="1"/>
  <c r="I8" i="1"/>
  <c r="B6" i="13" s="1"/>
  <c r="I7" i="1"/>
  <c r="B5" i="13" s="1"/>
  <c r="H8" i="1"/>
  <c r="B6" i="12" s="1"/>
  <c r="G8" i="1"/>
  <c r="B6" i="11" s="1"/>
  <c r="H7" i="1"/>
  <c r="B5" i="12" s="1"/>
  <c r="G7" i="1"/>
  <c r="B5" i="11" s="1"/>
  <c r="F8" i="1"/>
  <c r="B6" i="10" s="1"/>
  <c r="F7" i="1"/>
  <c r="B5" i="10" s="1"/>
  <c r="E8" i="1"/>
  <c r="B6" i="9" s="1"/>
  <c r="E7" i="1"/>
  <c r="B5" i="9" s="1"/>
  <c r="D8" i="1"/>
  <c r="B6" i="5" s="1"/>
  <c r="D7" i="1"/>
  <c r="B5" i="5" s="1"/>
  <c r="C13" i="30" l="1"/>
  <c r="C13" i="3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<sst xmlns="http://schemas.openxmlformats.org/spreadsheetml/2006/main" count="1628" uniqueCount="84">
  <si>
    <t>Anleitung zur Nutzung dieser Excel-Datei</t>
  </si>
  <si>
    <t>Schritt 1: Daten zur Übung eintragen</t>
  </si>
  <si>
    <t>1) Wählen Sie das Blatt "Uebung".</t>
  </si>
  <si>
    <t>2) Tragen Sie dort die Veranstaltungsinformationen in die gelb hinterlegten Felder ein.</t>
  </si>
  <si>
    <t>Schritt 2: Teilnehmende eintragen</t>
  </si>
  <si>
    <t>1) Exportieren Sie die Teilnehmer-Liste aus myStudy und öffnen Sie die Datei.</t>
  </si>
  <si>
    <r>
      <t xml:space="preserve">2) Klicken Sie </t>
    </r>
    <r>
      <rPr>
        <b/>
        <sz val="11"/>
        <color theme="1"/>
        <rFont val="Arial"/>
        <family val="2"/>
      </rPr>
      <t>in</t>
    </r>
    <r>
      <rPr>
        <sz val="11"/>
        <color theme="1"/>
        <rFont val="Arial"/>
        <family val="2"/>
      </rPr>
      <t xml:space="preserve"> die Liste mit den Namen, wählen den </t>
    </r>
    <r>
      <rPr>
        <b/>
        <sz val="11"/>
        <color theme="1"/>
        <rFont val="Arial"/>
        <family val="2"/>
      </rPr>
      <t xml:space="preserve">gesamten Inhalt der Tabelle </t>
    </r>
    <r>
      <rPr>
        <sz val="11"/>
        <color theme="1"/>
        <rFont val="Arial"/>
        <family val="2"/>
      </rPr>
      <t>aus und kopieren Sie sie.</t>
    </r>
  </si>
  <si>
    <t>3) Wechseln Sie in diese Datei und wählen Sie das Blatt "TN-Liste".</t>
  </si>
  <si>
    <t>4) Klicken Sie in die oberste linke Zelle, also die Zelle A1 (gelb hinterlegt).</t>
  </si>
  <si>
    <t>5) Setzen Sie den kopierten Inhalt ein.</t>
  </si>
  <si>
    <t>Alle Informationen zu den Teilnehmenden sind nun zu sehen. Die Namen der Studierenden werden in die anderen Blätter automatisch übernommen, so dass Sie die Namen dort nicht noch einmal eintragen müssen.</t>
  </si>
  <si>
    <t>Sie können diese Liste ergänzen, bpsw. um spätere Anmeldungen zu berücksichtigen.</t>
  </si>
  <si>
    <r>
      <t xml:space="preserve">Bitte beachten Sie! </t>
    </r>
    <r>
      <rPr>
        <sz val="10"/>
        <color theme="1"/>
        <rFont val="Arial"/>
        <family val="2"/>
      </rPr>
      <t>Die Liste wird in der eingetragenen Form übernommen. Ergänzungen der Liste sind auch jederzeit möglich.</t>
    </r>
  </si>
  <si>
    <t>Hinweis:</t>
  </si>
  <si>
    <t>In das Blatt "Bewertungen"  werden die Daten aus den Spalten B (Vorname) und C (Nachname) ab Zeile 2 übernommen. Wenn Sie die Daten manuell eintragen, beginnen Sie in der Zelle B2, da die Tabelle in myStudy eine Kopfzeile hat.</t>
  </si>
  <si>
    <t>Schritt 3: Bewertungen eintragen</t>
  </si>
  <si>
    <t>1) Wechseln Sie auf das Blatt "Bewertungen". Die Namen der Studierenden sind automatisch eingetragen</t>
  </si>
  <si>
    <t>2) Tragen Sie für die Punkte für die Artefakte ein. Bitte vergeben Sie nur volle Punkte.</t>
  </si>
  <si>
    <t>3) Die Punkte werden automatisch je Studierende in Zeile 32 ausgegeben.</t>
  </si>
  <si>
    <t>Schritt 4: Bewertungen an die Studierenden übermitteln</t>
  </si>
  <si>
    <t xml:space="preserve">In der Arbeitsmappe gibt es für jede*n Teilnehmer*in ein eigenes Blatt. Angelegt sind 40 Studierende: Stud1 bis Stud40. </t>
  </si>
  <si>
    <t>Die Reihenfolge ist dieselbe wie die TN-Liste. In dieses werden die Bewertungskriterien sowie die Punktwerte aus dem Blatt "Bewertungen" automatisch  übernommen.</t>
  </si>
  <si>
    <t>Um den Studierenden ihre individuellen Punkte zuzusenden,</t>
  </si>
  <si>
    <t>1) wechseln Sie auf das entsprechende Blatt: Stud1 bis Stud2</t>
  </si>
  <si>
    <t>2) Erzeugen Sie von dem Blatt ein pdf. Hierfür wählen Sie "Speichern unter…", stellen Sie das Einblendmenü "Dateiformat" auf "pdf" und klicken Sie speichern.</t>
  </si>
  <si>
    <t>Sie können das pdf den Studierenden einzeln per E-Mail zukommen lassen.</t>
  </si>
  <si>
    <t>Schritt 5: Einreichung der Bewertungen an das Prüfungsamt</t>
  </si>
  <si>
    <t>Sie können diese Excel-Datei vollständig an das Prüfungsamt übermitteln</t>
  </si>
  <si>
    <t>Bewertungen: Seitenansicht splitten</t>
  </si>
  <si>
    <t xml:space="preserve">Damit die Bewertungskriterien permanent sichtbar bleiben, kann die Ansicht gesplittet werden. Dies ist in dieser Version bereits getan. </t>
  </si>
  <si>
    <t xml:space="preserve">Im horizontalen Scrollbalken befindet sich eine kleine doppelte Linie (s. Abb.), die man anklicken und ziehen kann. </t>
  </si>
  <si>
    <t>Bitte tragen Sie in dieses Blatt Ihren Namen, den Titel der Übung und die Veranstaltungsnummer ein:</t>
  </si>
  <si>
    <t>Dozent/in</t>
  </si>
  <si>
    <t>Veranstaltungstitel</t>
  </si>
  <si>
    <t>Veranstaltungsnummer</t>
  </si>
  <si>
    <t>Sie können je Kritierum bis zu 5 Punkten vergeben. Bitte vergeben Sie nur ganze Punkte.</t>
  </si>
  <si>
    <t>4–5= vollständig erkennbar</t>
  </si>
  <si>
    <t>2–3 = weitgehend erkennbar</t>
  </si>
  <si>
    <t>1 = erste Ansätze erkennbar</t>
  </si>
  <si>
    <t>0 = nicht erkennbar</t>
  </si>
  <si>
    <r>
      <t xml:space="preserve">Namen der Teilnehmenden </t>
    </r>
    <r>
      <rPr>
        <sz val="12"/>
        <color theme="1"/>
        <rFont val="Arial"/>
        <family val="2"/>
      </rPr>
      <t>(werden automatisch aus dem Blatt TN-Liste übernommen)</t>
    </r>
  </si>
  <si>
    <t>Artefakt</t>
  </si>
  <si>
    <t>Kriterien</t>
  </si>
  <si>
    <t>Fragestellung (Artefakt 1a)</t>
  </si>
  <si>
    <t>Es liegt eine präzise formulierte Fragestellung vor, die sich auf ein konkretes Thema bezieht.</t>
  </si>
  <si>
    <t>Reflexionen (Artefakt 1b, 2d, 3 und 4)</t>
  </si>
  <si>
    <t xml:space="preserve">Es wird deutlich, dass eine bewusste Beschäftigung mit dem jeweiligen Thema der einzelnen Aufgabe stattgefunden hat. </t>
  </si>
  <si>
    <t>Die Ausgangslage der jeweiligen Reflexion wird beschrieben.</t>
  </si>
  <si>
    <t xml:space="preserve">Die beschriebene Ausgangslage wird analysiert. </t>
  </si>
  <si>
    <t>Es werden Verbindungen zwischen Lernerfahrungen hergestellt, z. B. zwischen aktuellen und früheren oder zwischen verschiedenen Lernsituationen etc.</t>
  </si>
  <si>
    <t xml:space="preserve">Vorhandene Vorannahmen, Vorurteile und Stereotype etc. werden hinterfragt. </t>
  </si>
  <si>
    <t xml:space="preserve">Es wird deutlich, dass der*die Schreibende zu neuen Erkenntnissen gelangt ist. </t>
  </si>
  <si>
    <t>Aus diesen neuen Erkenntnissen werden Implikationen für das zukünftige Denken und Handeln abgeleitet.</t>
  </si>
  <si>
    <t>Response Paper (Artefakt 2a-c)</t>
  </si>
  <si>
    <t>Arbeitet die wesentlichen Thesen des Artikels präzise heraus.</t>
  </si>
  <si>
    <t>Belegt die herausgearbeiteten Thesen mit Verweisen auf den Text.</t>
  </si>
  <si>
    <t>Ordnet die herausgearbeiteten Thesen anhand weiterer Literatur ein.</t>
  </si>
  <si>
    <t>Bezieht kontextuelle Informationen zum Text  (z. B. Lebensdaten des/der Autor*in, Denkschule, geschichtliche Einordnung, Zielpublikum) in die Einordnung ein.</t>
  </si>
  <si>
    <t xml:space="preserve">Positioniert sich gegenüber der herausgearbeiteten These. </t>
  </si>
  <si>
    <t>Begründet diese Stellung mit einer nachvollziehbaren und schlüssigen Argumentation.</t>
  </si>
  <si>
    <t xml:space="preserve">Der sprachliche Ausdruck ist einem wissenschaftlichen Text angemessen. </t>
  </si>
  <si>
    <t>gesamtes Portfolio</t>
  </si>
  <si>
    <t>Die Texte sind für Lesende verständlich und nachvollziehbar geschrieben.</t>
  </si>
  <si>
    <t>Intertextualität ist im Text transparent und nachvollziehbar formuliert. D. h. es ist durchgängig klar/eindeutig zuzuordnen, wer „spricht“, d.h. wessen Position/Meinung/ Beitrag referiert wird bzw. ob der/die Autor*in selbst „spricht“.</t>
  </si>
  <si>
    <t xml:space="preserve">Die verwendete Literatur wird nachvollziehbar und einheitlich zitiert. </t>
  </si>
  <si>
    <t>Die Einteilung in Absätze unterstützt das Textverständnis.</t>
  </si>
  <si>
    <t>Über dieses Kriterium wird bewertet, wie gut das gesamte Portfolio den Regeln der Rechtschreibung, Zeichensetzung und Grammatik entspricht.
5 = fehlerfrei
4 = wenige Flüchtigkeitsfehler
3 = Text enthält auffällige Fehler; das Textverständnis ist noch nicht eingeschränkt.
2 = Text enthält viele Fehler, so dass das Textverständnis eingeschränkt ist.
1 = Text enthält viele Fehler, so dass das Textverständnis erheblich eingeschränkt ist.
0 = enthält so viele Fehler, dass ein Textverständnis nicht mehr gegeben ist.</t>
  </si>
  <si>
    <t>Gesamtpunktzahl</t>
  </si>
  <si>
    <t>Übung</t>
  </si>
  <si>
    <t>Leitung</t>
  </si>
  <si>
    <t>Nummer</t>
  </si>
  <si>
    <t>Nachname</t>
  </si>
  <si>
    <t>Vorname</t>
  </si>
  <si>
    <t>Sie können max. 100 Punkte erreichen. Je Kriterium max. 5 Punkte.</t>
  </si>
  <si>
    <t xml:space="preserve">Punktwerte bedeuten: </t>
  </si>
  <si>
    <t>Ihre Gesamtpunktzahl:</t>
  </si>
  <si>
    <t>Punkte</t>
  </si>
  <si>
    <t>Reflexionen 
(Artefakt 1b, 2d, 3 und 4)</t>
  </si>
  <si>
    <t xml:space="preserve">Es wird deutlich, dass eine bewusste Beschäftigung mit dem Thema stattgefunden hat. </t>
  </si>
  <si>
    <t>Die Ausgangslage der Reflexion wird beschrieben.</t>
  </si>
  <si>
    <t>Response Paper
(Artefakt 2a-c)</t>
  </si>
  <si>
    <t>Belegt die herausgearbeiteten Thesen mit Verweisen auf den Text</t>
  </si>
  <si>
    <t>Die Einteilung in Absätze unter stützt das Textverständnis.</t>
  </si>
  <si>
    <t>Die Texte sind weitestgehend fehlerfrei in Bezug auf Rechtschreibung, Zeichensetzung und Grammatik.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</si>
</sst>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0"/>
      <color theme="1"/>
      <name val="ArialMT"/>
    </font>
    <font>
      <b/>
      <sz val="11"/>
      <color indexed="8"/>
      <name val="Calibri"/>
      <family val="2"/>
    </font>
    <font>
      <sz val="12"/>
      <color indexed="8"/>
      <name val="Calibri"/>
      <family val="2"/>
    </font>
    <font>
      <sz val="10"/>
      <color rgb="FF000000"/>
      <name val="Arial"/>
      <family val="2"/>
    </font>
    <font>
      <b/>
      <sz val="12"/>
      <color theme="1"/>
      <name val="Arial"/>
      <family val="2"/>
    </font>
    <font>
      <b/>
      <sz val="11"/>
      <color theme="1"/>
      <name val="Arial"/>
      <family val="2"/>
    </font>
    <font>
      <sz val="11"/>
      <color theme="1"/>
      <name val="Arial"/>
      <family val="2"/>
    </font>
    <font>
      <sz val="12"/>
      <color theme="1"/>
      <name val="Arial"/>
      <family val="2"/>
    </font>
    <font>
      <b/>
      <sz val="14"/>
      <color theme="1"/>
      <name val="Arial"/>
      <family val="2"/>
    </font>
    <font>
      <b/>
      <sz val="10"/>
      <color theme="1"/>
      <name val="Arial"/>
      <family val="2"/>
    </font>
    <font>
      <sz val="10"/>
      <color theme="1"/>
      <name val="Arial"/>
      <family val="2"/>
    </font>
  </fonts>
  <fills count="9">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0.34998626667073579"/>
        <bgColor indexed="10"/>
      </patternFill>
    </fill>
    <fill>
      <patternFill patternType="solid">
        <fgColor rgb="FFFFEAA1"/>
        <bgColor indexed="64"/>
      </patternFill>
    </fill>
    <fill>
      <patternFill patternType="solid">
        <fgColor rgb="FFFFEAA1"/>
        <bgColor indexed="10"/>
      </patternFill>
    </fill>
  </fills>
  <borders count="32">
    <border>
      <left/>
      <right/>
      <top/>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diagonal/>
    </border>
    <border>
      <left style="dashed">
        <color indexed="64"/>
      </left>
      <right style="dashed">
        <color indexed="64"/>
      </right>
      <top/>
      <bottom/>
      <diagonal/>
    </border>
    <border>
      <left style="dashed">
        <color indexed="64"/>
      </left>
      <right style="dashed">
        <color indexed="64"/>
      </right>
      <top/>
      <bottom style="dashed">
        <color indexed="64"/>
      </bottom>
      <diagonal/>
    </border>
    <border>
      <left style="thin">
        <color indexed="8"/>
      </left>
      <right style="thin">
        <color indexed="8"/>
      </right>
      <top style="thin">
        <color indexed="8"/>
      </top>
      <bottom style="thin">
        <color indexed="8"/>
      </bottom>
      <diagonal/>
    </border>
    <border>
      <left/>
      <right/>
      <top/>
      <bottom style="dotted">
        <color indexed="8"/>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dashed">
        <color indexed="64"/>
      </bottom>
      <diagonal/>
    </border>
    <border>
      <left/>
      <right style="thin">
        <color indexed="64"/>
      </right>
      <top style="dashed">
        <color indexed="64"/>
      </top>
      <bottom style="dashed">
        <color indexed="64"/>
      </bottom>
      <diagonal/>
    </border>
    <border>
      <left/>
      <right style="thin">
        <color indexed="64"/>
      </right>
      <top style="dashed">
        <color indexed="64"/>
      </top>
      <bottom style="thin">
        <color indexed="64"/>
      </bottom>
      <diagonal/>
    </border>
    <border>
      <left/>
      <right style="thin">
        <color indexed="64"/>
      </right>
      <top style="thin">
        <color indexed="64"/>
      </top>
      <bottom style="dashed">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dashed">
        <color indexed="64"/>
      </top>
      <bottom/>
      <diagonal/>
    </border>
    <border>
      <left/>
      <right/>
      <top/>
      <bottom style="dashed">
        <color indexed="64"/>
      </bottom>
      <diagonal/>
    </border>
    <border>
      <left/>
      <right/>
      <top style="dashed">
        <color indexed="64"/>
      </top>
      <bottom style="dashed">
        <color indexed="64"/>
      </bottom>
      <diagonal/>
    </border>
    <border>
      <left/>
      <right/>
      <top style="dashed">
        <color indexed="64"/>
      </top>
      <bottom style="thin">
        <color indexed="64"/>
      </bottom>
      <diagonal/>
    </border>
    <border>
      <left/>
      <right/>
      <top style="thin">
        <color indexed="64"/>
      </top>
      <bottom style="dashed">
        <color indexed="64"/>
      </bottom>
      <diagonal/>
    </border>
    <border>
      <left/>
      <right style="thin">
        <color indexed="64"/>
      </right>
      <top/>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style="thin">
        <color indexed="64"/>
      </right>
      <top/>
      <bottom style="dashed">
        <color indexed="64"/>
      </bottom>
      <diagonal/>
    </border>
  </borders>
  <cellStyleXfs count="1">
    <xf numFmtId="0" fontId="0" fillId="0" borderId="0"/>
  </cellStyleXfs>
  <cellXfs count="77">
    <xf numFmtId="0" fontId="0" fillId="0" borderId="0" xfId="0"/>
    <xf numFmtId="2" fontId="0" fillId="0" borderId="0" xfId="0" applyNumberFormat="1"/>
    <xf numFmtId="0" fontId="1" fillId="0" borderId="0" xfId="0" applyFont="1"/>
    <xf numFmtId="0" fontId="2" fillId="6" borderId="5" xfId="0" applyFont="1" applyFill="1" applyBorder="1" applyAlignment="1">
      <alignment horizontal="left"/>
    </xf>
    <xf numFmtId="0" fontId="3" fillId="0" borderId="6" xfId="0" applyFont="1" applyBorder="1" applyAlignment="1">
      <alignment horizontal="left"/>
    </xf>
    <xf numFmtId="0" fontId="4" fillId="0" borderId="0" xfId="0" applyFont="1" applyAlignment="1">
      <alignment vertical="center"/>
    </xf>
    <xf numFmtId="0" fontId="3" fillId="0" borderId="6" xfId="0" applyFont="1" applyBorder="1" applyAlignment="1">
      <alignment horizontal="center"/>
    </xf>
    <xf numFmtId="0" fontId="3" fillId="0" borderId="0" xfId="0" applyFont="1" applyAlignment="1">
      <alignment horizontal="left"/>
    </xf>
    <xf numFmtId="0" fontId="5" fillId="0" borderId="0" xfId="0" applyFont="1"/>
    <xf numFmtId="0" fontId="5" fillId="0" borderId="0" xfId="0" applyFont="1" applyAlignment="1">
      <alignment wrapText="1"/>
    </xf>
    <xf numFmtId="0" fontId="6" fillId="0" borderId="0" xfId="0" applyFont="1"/>
    <xf numFmtId="0" fontId="7" fillId="0" borderId="0" xfId="0" applyFont="1"/>
    <xf numFmtId="0" fontId="8" fillId="0" borderId="0" xfId="0" applyFont="1" applyAlignment="1">
      <alignment wrapText="1"/>
    </xf>
    <xf numFmtId="0" fontId="7" fillId="0" borderId="0" xfId="0" applyFont="1" applyAlignment="1">
      <alignment wrapText="1"/>
    </xf>
    <xf numFmtId="0" fontId="5" fillId="0" borderId="0" xfId="0" applyFont="1" applyAlignment="1">
      <alignment vertical="center"/>
    </xf>
    <xf numFmtId="0" fontId="5" fillId="0" borderId="1" xfId="0" applyFont="1" applyBorder="1" applyAlignment="1">
      <alignment horizontal="center"/>
    </xf>
    <xf numFmtId="0" fontId="5" fillId="0" borderId="1" xfId="0" applyFont="1" applyBorder="1" applyAlignment="1">
      <alignment horizontal="center" wrapText="1"/>
    </xf>
    <xf numFmtId="0" fontId="7" fillId="0" borderId="2" xfId="0" applyFont="1" applyBorder="1" applyAlignment="1">
      <alignment horizontal="center"/>
    </xf>
    <xf numFmtId="0" fontId="7" fillId="0" borderId="2" xfId="0" applyFont="1" applyBorder="1" applyAlignment="1">
      <alignment horizontal="center" wrapText="1"/>
    </xf>
    <xf numFmtId="0" fontId="7" fillId="2" borderId="2" xfId="0" applyFont="1" applyFill="1" applyBorder="1" applyAlignment="1">
      <alignment horizontal="center" vertical="top" wrapText="1"/>
    </xf>
    <xf numFmtId="0" fontId="7" fillId="2" borderId="2" xfId="0" applyFont="1" applyFill="1" applyBorder="1" applyAlignment="1">
      <alignment vertical="top" wrapText="1"/>
    </xf>
    <xf numFmtId="0" fontId="7" fillId="0" borderId="0" xfId="0" applyFont="1" applyAlignment="1">
      <alignment horizontal="center" vertical="center"/>
    </xf>
    <xf numFmtId="0" fontId="7" fillId="3" borderId="1" xfId="0" applyFont="1" applyFill="1" applyBorder="1" applyAlignment="1">
      <alignment vertical="top" wrapText="1"/>
    </xf>
    <xf numFmtId="0" fontId="7" fillId="4" borderId="1" xfId="0" applyFont="1" applyFill="1" applyBorder="1" applyAlignment="1">
      <alignment vertical="top" wrapText="1"/>
    </xf>
    <xf numFmtId="0" fontId="7" fillId="5" borderId="1" xfId="0" applyFont="1" applyFill="1" applyBorder="1" applyAlignment="1">
      <alignment vertical="top" wrapText="1"/>
    </xf>
    <xf numFmtId="0" fontId="9" fillId="0" borderId="0" xfId="0" applyFont="1" applyAlignment="1">
      <alignment horizontal="center" vertical="center"/>
    </xf>
    <xf numFmtId="0" fontId="9" fillId="0" borderId="0" xfId="0" applyFont="1" applyAlignment="1">
      <alignment horizontal="center" vertical="center" wrapText="1"/>
    </xf>
    <xf numFmtId="0" fontId="10" fillId="0" borderId="0" xfId="0" applyFont="1"/>
    <xf numFmtId="0" fontId="11" fillId="0" borderId="0" xfId="0" applyFont="1"/>
    <xf numFmtId="0" fontId="4" fillId="0" borderId="0" xfId="0" applyFont="1"/>
    <xf numFmtId="0" fontId="10" fillId="0" borderId="0" xfId="0" applyFont="1" applyAlignment="1">
      <alignment horizontal="right"/>
    </xf>
    <xf numFmtId="0" fontId="11" fillId="0" borderId="8" xfId="0" applyFont="1" applyBorder="1"/>
    <xf numFmtId="0" fontId="11" fillId="0" borderId="9" xfId="0" applyFont="1" applyBorder="1"/>
    <xf numFmtId="0" fontId="11" fillId="0" borderId="10" xfId="0" applyFont="1" applyBorder="1"/>
    <xf numFmtId="0" fontId="11" fillId="0" borderId="7" xfId="0" applyFont="1" applyBorder="1" applyAlignment="1">
      <alignment horizontal="center" vertical="top" wrapText="1"/>
    </xf>
    <xf numFmtId="0" fontId="11" fillId="0" borderId="11" xfId="0" applyFont="1" applyBorder="1" applyAlignment="1">
      <alignment vertical="top" wrapText="1"/>
    </xf>
    <xf numFmtId="0" fontId="11" fillId="0" borderId="12" xfId="0" applyFont="1" applyBorder="1" applyAlignment="1">
      <alignment vertical="top" wrapText="1"/>
    </xf>
    <xf numFmtId="0" fontId="11" fillId="0" borderId="13" xfId="0" applyFont="1" applyBorder="1" applyAlignment="1">
      <alignment vertical="top" wrapText="1"/>
    </xf>
    <xf numFmtId="0" fontId="11" fillId="0" borderId="14" xfId="0" applyFont="1" applyBorder="1" applyAlignment="1">
      <alignment vertical="top" wrapText="1"/>
    </xf>
    <xf numFmtId="0" fontId="11" fillId="0" borderId="10" xfId="0" applyFont="1" applyBorder="1" applyAlignment="1">
      <alignment vertical="top" wrapText="1"/>
    </xf>
    <xf numFmtId="0" fontId="11" fillId="0" borderId="15" xfId="0" applyFont="1" applyBorder="1"/>
    <xf numFmtId="0" fontId="11" fillId="0" borderId="16" xfId="0" applyFont="1" applyBorder="1"/>
    <xf numFmtId="0" fontId="10" fillId="0" borderId="18" xfId="0" applyFont="1" applyBorder="1" applyAlignment="1">
      <alignment horizontal="center"/>
    </xf>
    <xf numFmtId="0" fontId="10" fillId="0" borderId="19" xfId="0" applyFont="1" applyBorder="1" applyAlignment="1">
      <alignment horizontal="right"/>
    </xf>
    <xf numFmtId="0" fontId="11" fillId="0" borderId="20" xfId="0" applyFont="1" applyBorder="1"/>
    <xf numFmtId="0" fontId="10" fillId="0" borderId="8" xfId="0" applyFont="1" applyBorder="1" applyAlignment="1">
      <alignment horizontal="center" wrapText="1"/>
    </xf>
    <xf numFmtId="0" fontId="11" fillId="0" borderId="21" xfId="0" applyFont="1" applyBorder="1" applyAlignment="1">
      <alignment horizontal="center"/>
    </xf>
    <xf numFmtId="0" fontId="11" fillId="0" borderId="16" xfId="0" applyFont="1" applyBorder="1" applyAlignment="1">
      <alignment horizontal="center" wrapText="1"/>
    </xf>
    <xf numFmtId="0" fontId="11" fillId="0" borderId="7" xfId="0" applyFont="1" applyBorder="1" applyAlignment="1">
      <alignment vertical="top" wrapText="1"/>
    </xf>
    <xf numFmtId="0" fontId="11" fillId="0" borderId="23" xfId="0" applyFont="1" applyBorder="1" applyAlignment="1">
      <alignment vertical="top" wrapText="1"/>
    </xf>
    <xf numFmtId="0" fontId="11" fillId="0" borderId="24" xfId="0" applyFont="1" applyBorder="1" applyAlignment="1">
      <alignment vertical="top" wrapText="1"/>
    </xf>
    <xf numFmtId="0" fontId="11" fillId="0" borderId="25" xfId="0" applyFont="1" applyBorder="1" applyAlignment="1">
      <alignment vertical="top" wrapText="1"/>
    </xf>
    <xf numFmtId="0" fontId="11" fillId="0" borderId="26" xfId="0" applyFont="1" applyBorder="1" applyAlignment="1">
      <alignment vertical="top" wrapText="1"/>
    </xf>
    <xf numFmtId="0" fontId="11" fillId="0" borderId="27" xfId="0" applyFont="1" applyBorder="1"/>
    <xf numFmtId="0" fontId="11" fillId="0" borderId="28" xfId="0" applyFont="1" applyBorder="1" applyAlignment="1">
      <alignment vertical="top" wrapText="1"/>
    </xf>
    <xf numFmtId="0" fontId="11" fillId="0" borderId="8" xfId="0" applyFont="1" applyBorder="1" applyAlignment="1">
      <alignment vertical="top" wrapText="1"/>
    </xf>
    <xf numFmtId="0" fontId="11" fillId="0" borderId="29" xfId="0" applyFont="1" applyBorder="1" applyAlignment="1">
      <alignment vertical="top" wrapText="1"/>
    </xf>
    <xf numFmtId="0" fontId="11" fillId="0" borderId="30" xfId="0" applyFont="1" applyBorder="1" applyAlignment="1">
      <alignment vertical="top" wrapText="1"/>
    </xf>
    <xf numFmtId="0" fontId="11" fillId="0" borderId="17" xfId="0" applyFont="1" applyBorder="1" applyAlignment="1">
      <alignment vertical="top" wrapText="1"/>
    </xf>
    <xf numFmtId="0" fontId="11" fillId="0" borderId="31" xfId="0" applyFont="1" applyBorder="1" applyAlignment="1">
      <alignment vertical="top" wrapText="1"/>
    </xf>
    <xf numFmtId="0" fontId="11" fillId="0" borderId="22" xfId="0" applyFont="1" applyBorder="1" applyAlignment="1">
      <alignment vertical="top" wrapText="1"/>
    </xf>
    <xf numFmtId="0" fontId="7" fillId="7" borderId="17" xfId="0" applyFont="1" applyFill="1" applyBorder="1" applyAlignment="1" applyProtection="1">
      <alignment horizontal="center" vertical="center"/>
      <protection locked="0"/>
    </xf>
    <xf numFmtId="0" fontId="7" fillId="7" borderId="17" xfId="0" applyFont="1" applyFill="1" applyBorder="1" applyProtection="1">
      <protection locked="0"/>
    </xf>
    <xf numFmtId="0" fontId="2" fillId="8" borderId="5" xfId="0" applyFont="1" applyFill="1" applyBorder="1" applyAlignment="1">
      <alignment horizontal="left"/>
    </xf>
    <xf numFmtId="0" fontId="0" fillId="7" borderId="0" xfId="0" applyFill="1" applyProtection="1">
      <protection locked="0"/>
    </xf>
    <xf numFmtId="0" fontId="7" fillId="3" borderId="2" xfId="0" applyFont="1" applyFill="1" applyBorder="1" applyAlignment="1">
      <alignment horizontal="center" vertical="top" wrapText="1"/>
    </xf>
    <xf numFmtId="0" fontId="7" fillId="3" borderId="3" xfId="0" applyFont="1" applyFill="1" applyBorder="1" applyAlignment="1">
      <alignment horizontal="center" vertical="top" wrapText="1"/>
    </xf>
    <xf numFmtId="0" fontId="7" fillId="3" borderId="4" xfId="0" applyFont="1" applyFill="1" applyBorder="1" applyAlignment="1">
      <alignment horizontal="center" vertical="top" wrapText="1"/>
    </xf>
    <xf numFmtId="0" fontId="7" fillId="4" borderId="2" xfId="0" applyFont="1" applyFill="1" applyBorder="1" applyAlignment="1">
      <alignment horizontal="center" vertical="top" wrapText="1"/>
    </xf>
    <xf numFmtId="0" fontId="7" fillId="4" borderId="3" xfId="0" applyFont="1" applyFill="1" applyBorder="1" applyAlignment="1">
      <alignment horizontal="center" vertical="top" wrapText="1"/>
    </xf>
    <xf numFmtId="0" fontId="7" fillId="4" borderId="4" xfId="0" applyFont="1" applyFill="1" applyBorder="1" applyAlignment="1">
      <alignment horizontal="center" vertical="top" wrapText="1"/>
    </xf>
    <xf numFmtId="0" fontId="7" fillId="5" borderId="2" xfId="0" applyFont="1" applyFill="1" applyBorder="1" applyAlignment="1">
      <alignment horizontal="center" vertical="top" wrapText="1"/>
    </xf>
    <xf numFmtId="0" fontId="7" fillId="5" borderId="3" xfId="0" applyFont="1" applyFill="1" applyBorder="1" applyAlignment="1">
      <alignment horizontal="center" vertical="top" wrapText="1"/>
    </xf>
    <xf numFmtId="0" fontId="7" fillId="5" borderId="4" xfId="0" applyFont="1" applyFill="1" applyBorder="1" applyAlignment="1">
      <alignment horizontal="center" vertical="top" wrapText="1"/>
    </xf>
    <xf numFmtId="0" fontId="11" fillId="0" borderId="8" xfId="0" applyFont="1" applyBorder="1" applyAlignment="1">
      <alignment horizontal="center" vertical="top" wrapText="1"/>
    </xf>
    <xf numFmtId="0" fontId="11" fillId="0" borderId="9" xfId="0" applyFont="1" applyBorder="1" applyAlignment="1">
      <alignment horizontal="center" vertical="top" wrapText="1"/>
    </xf>
    <xf numFmtId="0" fontId="11" fillId="0" borderId="10" xfId="0" applyFont="1" applyBorder="1" applyAlignment="1">
      <alignment horizontal="center" vertical="top" wrapText="1"/>
    </xf>
  </cellXfs>
  <cellStyles count="1">
    <cellStyle name="Standard" xfId="0" builtinId="0"/>
  </cellStyles>
  <dxfs count="0"/>
  <tableStyles count="0" defaultTableStyle="TableStyleMedium2" defaultPivotStyle="PivotStyleLight16"/>
  <colors>
    <mruColors>
      <color rgb="FFFFEAA1"/>
      <color rgb="FFFFEA00"/>
      <color rgb="FFFFFC00"/>
      <color rgb="FFFFD5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microsoft.com/office/2017/06/relationships/rdRichValue" Target="richData/rdrichvalue.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eetMetadata" Target="metadata.xml"/><Relationship Id="rId56" Type="http://schemas.openxmlformats.org/officeDocument/2006/relationships/customXml" Target="../customXml/item3.xml"/><Relationship Id="rId8" Type="http://schemas.openxmlformats.org/officeDocument/2006/relationships/worksheet" Target="worksheets/sheet8.xml"/><Relationship Id="rId51" Type="http://schemas.microsoft.com/office/2017/06/relationships/rdRichValueStructure" Target="richData/rdrichvaluestructure.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DC8CF-1256-0D4F-B426-9D55D506B96D}">
  <dimension ref="A1:B42"/>
  <sheetViews>
    <sheetView zoomScaleNormal="100" workbookViewId="0"/>
  </sheetViews>
  <sheetFormatPr defaultColWidth="10.7109375" defaultRowHeight="13.9"/>
  <cols>
    <col min="1" max="16384" width="10.7109375" style="11"/>
  </cols>
  <sheetData>
    <row r="1" spans="1:2" ht="15.6">
      <c r="A1" s="8" t="s">
        <v>0</v>
      </c>
    </row>
    <row r="3" spans="1:2">
      <c r="A3" s="27" t="s">
        <v>1</v>
      </c>
    </row>
    <row r="4" spans="1:2">
      <c r="B4" s="11" t="s">
        <v>2</v>
      </c>
    </row>
    <row r="5" spans="1:2">
      <c r="B5" s="11" t="s">
        <v>3</v>
      </c>
    </row>
    <row r="7" spans="1:2">
      <c r="A7" s="27" t="s">
        <v>4</v>
      </c>
    </row>
    <row r="8" spans="1:2">
      <c r="B8" s="11" t="s">
        <v>5</v>
      </c>
    </row>
    <row r="9" spans="1:2">
      <c r="B9" s="11" t="s">
        <v>6</v>
      </c>
    </row>
    <row r="10" spans="1:2">
      <c r="B10" s="11" t="s">
        <v>7</v>
      </c>
    </row>
    <row r="11" spans="1:2">
      <c r="B11" s="11" t="s">
        <v>8</v>
      </c>
    </row>
    <row r="12" spans="1:2">
      <c r="B12" s="11" t="s">
        <v>9</v>
      </c>
    </row>
    <row r="13" spans="1:2">
      <c r="B13" s="11" t="s">
        <v>10</v>
      </c>
    </row>
    <row r="14" spans="1:2">
      <c r="B14" s="11" t="s">
        <v>11</v>
      </c>
    </row>
    <row r="15" spans="1:2">
      <c r="B15" s="27" t="s">
        <v>12</v>
      </c>
    </row>
    <row r="17" spans="1:2">
      <c r="B17" s="11" t="s">
        <v>13</v>
      </c>
    </row>
    <row r="18" spans="1:2">
      <c r="B18" s="11" t="s">
        <v>14</v>
      </c>
    </row>
    <row r="20" spans="1:2">
      <c r="A20" s="10" t="s">
        <v>15</v>
      </c>
    </row>
    <row r="21" spans="1:2">
      <c r="B21" s="11" t="s">
        <v>16</v>
      </c>
    </row>
    <row r="22" spans="1:2">
      <c r="B22" s="11" t="s">
        <v>17</v>
      </c>
    </row>
    <row r="23" spans="1:2">
      <c r="B23" s="11" t="s">
        <v>18</v>
      </c>
    </row>
    <row r="25" spans="1:2">
      <c r="A25" s="10" t="s">
        <v>19</v>
      </c>
    </row>
    <row r="26" spans="1:2">
      <c r="B26" s="11" t="s">
        <v>20</v>
      </c>
    </row>
    <row r="27" spans="1:2">
      <c r="B27" s="11" t="s">
        <v>21</v>
      </c>
    </row>
    <row r="28" spans="1:2">
      <c r="B28" s="11" t="s">
        <v>22</v>
      </c>
    </row>
    <row r="29" spans="1:2">
      <c r="B29" s="11" t="s">
        <v>23</v>
      </c>
    </row>
    <row r="30" spans="1:2">
      <c r="B30" s="11" t="s">
        <v>24</v>
      </c>
    </row>
    <row r="31" spans="1:2">
      <c r="B31" s="11" t="s">
        <v>25</v>
      </c>
    </row>
    <row r="33" spans="1:2">
      <c r="A33" s="10" t="s">
        <v>26</v>
      </c>
    </row>
    <row r="34" spans="1:2">
      <c r="B34" s="11" t="s">
        <v>27</v>
      </c>
    </row>
    <row r="38" spans="1:2">
      <c r="A38" s="10" t="s">
        <v>28</v>
      </c>
    </row>
    <row r="39" spans="1:2">
      <c r="B39" s="11" t="s">
        <v>29</v>
      </c>
    </row>
    <row r="40" spans="1:2">
      <c r="B40" s="11" t="s">
        <v>30</v>
      </c>
    </row>
    <row r="42" spans="1:2" ht="87" customHeight="1">
      <c r="B42" s="11" t="e" vm="1">
        <v>#VALUE!</v>
      </c>
    </row>
  </sheetData>
  <sheetProtection sheet="1" objects="1" scenarios="1"/>
  <pageMargins left="0.7" right="0.7" top="0.78740157499999996" bottom="0.78740157499999996"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23749-40CC-1545-9B77-6970131DB544}">
  <dimension ref="A1:B5"/>
  <sheetViews>
    <sheetView zoomScale="150" zoomScaleNormal="150" workbookViewId="0">
      <selection activeCell="B3" sqref="B3"/>
    </sheetView>
  </sheetViews>
  <sheetFormatPr defaultColWidth="11.42578125" defaultRowHeight="14.45"/>
  <cols>
    <col min="1" max="1" width="22.7109375" customWidth="1"/>
    <col min="2" max="2" width="34.28515625" customWidth="1"/>
  </cols>
  <sheetData>
    <row r="1" spans="1:2">
      <c r="A1" s="2" t="s">
        <v>31</v>
      </c>
    </row>
    <row r="3" spans="1:2">
      <c r="A3" t="s">
        <v>32</v>
      </c>
      <c r="B3" s="64"/>
    </row>
    <row r="4" spans="1:2">
      <c r="A4" t="s">
        <v>33</v>
      </c>
      <c r="B4" s="64"/>
    </row>
    <row r="5" spans="1:2">
      <c r="A5" t="s">
        <v>34</v>
      </c>
      <c r="B5" s="64"/>
    </row>
  </sheetData>
  <sheetProtection sheet="1" objects="1" scenarios="1"/>
  <pageMargins left="0.7" right="0.7" top="0.78740157499999996" bottom="0.78740157499999996"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963DC-9FF6-46A5-8296-1D123A846CF0}">
  <sheetPr>
    <pageSetUpPr fitToPage="1"/>
  </sheetPr>
  <dimension ref="A1:S41"/>
  <sheetViews>
    <sheetView workbookViewId="0"/>
  </sheetViews>
  <sheetFormatPr defaultColWidth="11.42578125" defaultRowHeight="14.45"/>
  <sheetData>
    <row r="1" spans="1:19">
      <c r="A1" s="63"/>
      <c r="B1" s="3"/>
      <c r="C1" s="3"/>
      <c r="D1" s="3"/>
      <c r="E1" s="3"/>
      <c r="F1" s="3"/>
      <c r="G1" s="3"/>
      <c r="H1" s="3"/>
      <c r="I1" s="3"/>
      <c r="J1" s="3"/>
      <c r="K1" s="3"/>
    </row>
    <row r="2" spans="1:19" ht="15.6">
      <c r="A2" s="4"/>
      <c r="B2" s="5"/>
      <c r="C2" s="5"/>
      <c r="D2" s="5"/>
      <c r="E2" s="5"/>
      <c r="F2" s="5"/>
      <c r="G2" s="5"/>
      <c r="H2" s="5"/>
      <c r="I2" s="5"/>
      <c r="J2" s="6"/>
      <c r="K2" s="6"/>
    </row>
    <row r="3" spans="1:19" ht="15.6">
      <c r="A3" s="4"/>
      <c r="B3" s="5"/>
      <c r="C3" s="5"/>
      <c r="D3" s="5"/>
      <c r="E3" s="5"/>
      <c r="F3" s="5"/>
      <c r="G3" s="5"/>
      <c r="H3" s="5"/>
      <c r="I3" s="5"/>
      <c r="J3" s="6"/>
      <c r="K3" s="6"/>
    </row>
    <row r="4" spans="1:19" ht="15.6">
      <c r="A4" s="4"/>
      <c r="B4" s="5"/>
      <c r="C4" s="5"/>
      <c r="D4" s="5"/>
      <c r="E4" s="5"/>
      <c r="F4" s="5"/>
      <c r="G4" s="5"/>
      <c r="H4" s="5"/>
      <c r="I4" s="5"/>
      <c r="J4" s="6"/>
      <c r="K4" s="6"/>
    </row>
    <row r="5" spans="1:19" ht="15.6">
      <c r="A5" s="4"/>
      <c r="B5" s="5"/>
      <c r="C5" s="5"/>
      <c r="D5" s="5"/>
      <c r="E5" s="5"/>
      <c r="F5" s="5"/>
      <c r="G5" s="5"/>
      <c r="H5" s="5"/>
      <c r="I5" s="5"/>
      <c r="J5" s="6"/>
      <c r="K5" s="6"/>
    </row>
    <row r="6" spans="1:19" ht="15.6">
      <c r="A6" s="4"/>
      <c r="B6" s="5"/>
      <c r="C6" s="5"/>
      <c r="D6" s="5"/>
      <c r="E6" s="5"/>
      <c r="F6" s="5"/>
      <c r="G6" s="5"/>
      <c r="H6" s="5"/>
      <c r="I6" s="5"/>
      <c r="J6" s="6"/>
      <c r="K6" s="6"/>
    </row>
    <row r="7" spans="1:19" ht="15.6">
      <c r="A7" s="4"/>
      <c r="B7" s="5"/>
      <c r="C7" s="5"/>
      <c r="D7" s="5"/>
      <c r="E7" s="5"/>
      <c r="F7" s="5"/>
      <c r="G7" s="5"/>
      <c r="H7" s="5"/>
      <c r="I7" s="5"/>
      <c r="J7" s="6"/>
      <c r="K7" s="6"/>
      <c r="L7" s="1"/>
      <c r="M7" s="1"/>
      <c r="N7" s="1"/>
      <c r="O7" s="1"/>
      <c r="P7" s="1"/>
      <c r="Q7" s="1"/>
      <c r="R7" s="1"/>
      <c r="S7" s="1"/>
    </row>
    <row r="8" spans="1:19" ht="15.6">
      <c r="A8" s="4"/>
      <c r="B8" s="5"/>
      <c r="C8" s="5"/>
      <c r="D8" s="5"/>
      <c r="E8" s="5"/>
      <c r="F8" s="5"/>
      <c r="G8" s="5"/>
      <c r="H8" s="5"/>
      <c r="I8" s="5"/>
      <c r="J8" s="6"/>
      <c r="K8" s="6"/>
      <c r="L8" s="1"/>
      <c r="M8" s="1"/>
      <c r="N8" s="1"/>
      <c r="O8" s="1"/>
      <c r="P8" s="1"/>
      <c r="Q8" s="1"/>
      <c r="R8" s="1"/>
      <c r="S8" s="1"/>
    </row>
    <row r="9" spans="1:19" ht="15.6">
      <c r="A9" s="4"/>
      <c r="B9" s="5"/>
      <c r="C9" s="5"/>
      <c r="D9" s="5"/>
      <c r="E9" s="5"/>
      <c r="F9" s="5"/>
      <c r="G9" s="5"/>
      <c r="H9" s="5"/>
      <c r="I9" s="5"/>
      <c r="J9" s="6"/>
      <c r="K9" s="6"/>
      <c r="L9" s="1"/>
      <c r="M9" s="1"/>
      <c r="N9" s="1"/>
      <c r="O9" s="1"/>
      <c r="P9" s="1"/>
      <c r="Q9" s="1"/>
      <c r="R9" s="1"/>
      <c r="S9" s="1"/>
    </row>
    <row r="10" spans="1:19" ht="15.6">
      <c r="A10" s="4"/>
      <c r="B10" s="5"/>
      <c r="C10" s="5"/>
      <c r="D10" s="5"/>
      <c r="E10" s="5"/>
      <c r="F10" s="5"/>
      <c r="G10" s="5"/>
      <c r="H10" s="5"/>
      <c r="I10" s="5"/>
      <c r="J10" s="6"/>
      <c r="K10" s="6"/>
      <c r="L10" s="1"/>
      <c r="M10" s="1"/>
      <c r="N10" s="1"/>
      <c r="O10" s="1"/>
      <c r="P10" s="1"/>
      <c r="Q10" s="1"/>
      <c r="R10" s="1"/>
      <c r="S10" s="1"/>
    </row>
    <row r="11" spans="1:19" ht="15.6">
      <c r="A11" s="4"/>
      <c r="B11" s="5"/>
      <c r="C11" s="5"/>
      <c r="D11" s="5"/>
      <c r="E11" s="5"/>
      <c r="F11" s="5"/>
      <c r="G11" s="5"/>
      <c r="H11" s="5"/>
      <c r="I11" s="5"/>
      <c r="J11" s="6"/>
      <c r="K11" s="6"/>
      <c r="L11" s="1"/>
      <c r="M11" s="1"/>
      <c r="N11" s="1"/>
      <c r="O11" s="1"/>
      <c r="P11" s="1"/>
      <c r="Q11" s="1"/>
      <c r="R11" s="1"/>
      <c r="S11" s="1"/>
    </row>
    <row r="12" spans="1:19" ht="15.6">
      <c r="A12" s="4"/>
      <c r="B12" s="5"/>
      <c r="C12" s="5"/>
      <c r="D12" s="5"/>
      <c r="E12" s="5"/>
      <c r="F12" s="5"/>
      <c r="G12" s="5"/>
      <c r="H12" s="5"/>
      <c r="I12" s="5"/>
      <c r="J12" s="6"/>
      <c r="K12" s="6"/>
      <c r="L12" s="1"/>
      <c r="M12" s="1"/>
      <c r="N12" s="1"/>
      <c r="O12" s="1"/>
      <c r="P12" s="1"/>
      <c r="Q12" s="1"/>
      <c r="R12" s="1"/>
      <c r="S12" s="1"/>
    </row>
    <row r="13" spans="1:19" ht="15.6">
      <c r="A13" s="4"/>
      <c r="B13" s="5"/>
      <c r="C13" s="5"/>
      <c r="D13" s="5"/>
      <c r="E13" s="5"/>
      <c r="F13" s="5"/>
      <c r="G13" s="5"/>
      <c r="H13" s="5"/>
      <c r="I13" s="5"/>
      <c r="J13" s="6"/>
      <c r="K13" s="6"/>
      <c r="L13" s="1"/>
      <c r="M13" s="1"/>
      <c r="N13" s="1"/>
      <c r="O13" s="1"/>
      <c r="P13" s="1"/>
      <c r="Q13" s="1"/>
      <c r="R13" s="1"/>
      <c r="S13" s="1"/>
    </row>
    <row r="14" spans="1:19" ht="15.6">
      <c r="A14" s="4"/>
      <c r="B14" s="5"/>
      <c r="C14" s="5"/>
      <c r="D14" s="5"/>
      <c r="E14" s="5"/>
      <c r="F14" s="5"/>
      <c r="G14" s="5"/>
      <c r="H14" s="5"/>
      <c r="I14" s="5"/>
      <c r="J14" s="6"/>
      <c r="K14" s="6"/>
      <c r="L14" s="1"/>
      <c r="M14" s="1"/>
      <c r="N14" s="1"/>
      <c r="O14" s="1"/>
      <c r="P14" s="1"/>
      <c r="Q14" s="1"/>
      <c r="R14" s="1"/>
      <c r="S14" s="1"/>
    </row>
    <row r="15" spans="1:19" ht="15.6">
      <c r="A15" s="4"/>
      <c r="B15" s="5"/>
      <c r="C15" s="5"/>
      <c r="D15" s="5"/>
      <c r="E15" s="5"/>
      <c r="F15" s="5"/>
      <c r="G15" s="5"/>
      <c r="H15" s="5"/>
      <c r="I15" s="5"/>
      <c r="J15" s="6"/>
      <c r="K15" s="6"/>
    </row>
    <row r="16" spans="1:19" ht="15.6">
      <c r="A16" s="4"/>
      <c r="B16" s="5"/>
      <c r="C16" s="5"/>
      <c r="D16" s="5"/>
      <c r="E16" s="5"/>
      <c r="F16" s="5"/>
      <c r="G16" s="5"/>
      <c r="H16" s="5"/>
      <c r="I16" s="5"/>
      <c r="J16" s="6"/>
      <c r="K16" s="6"/>
    </row>
    <row r="17" spans="1:11" ht="15.6">
      <c r="A17" s="4"/>
      <c r="B17" s="5"/>
      <c r="C17" s="5"/>
      <c r="D17" s="5"/>
      <c r="E17" s="5"/>
      <c r="F17" s="5"/>
      <c r="G17" s="5"/>
      <c r="H17" s="5"/>
      <c r="I17" s="5"/>
      <c r="J17" s="6"/>
      <c r="K17" s="6"/>
    </row>
    <row r="18" spans="1:11" ht="15.6">
      <c r="A18" s="4"/>
      <c r="B18" s="5"/>
      <c r="C18" s="5"/>
      <c r="D18" s="5"/>
      <c r="E18" s="5"/>
      <c r="F18" s="5"/>
      <c r="G18" s="5"/>
      <c r="H18" s="5"/>
      <c r="I18" s="5"/>
      <c r="J18" s="6"/>
      <c r="K18" s="6"/>
    </row>
    <row r="19" spans="1:11" ht="15.6">
      <c r="A19" s="4"/>
      <c r="B19" s="5"/>
      <c r="C19" s="5"/>
      <c r="D19" s="5"/>
      <c r="E19" s="5"/>
      <c r="F19" s="5"/>
      <c r="G19" s="5"/>
      <c r="H19" s="5"/>
      <c r="I19" s="5"/>
      <c r="J19" s="6"/>
      <c r="K19" s="6"/>
    </row>
    <row r="20" spans="1:11" ht="15.6">
      <c r="A20" s="4"/>
      <c r="B20" s="5"/>
      <c r="C20" s="5"/>
      <c r="D20" s="5"/>
      <c r="E20" s="5"/>
      <c r="F20" s="5"/>
      <c r="G20" s="5"/>
      <c r="H20" s="5"/>
      <c r="I20" s="5"/>
      <c r="J20" s="6"/>
      <c r="K20" s="6"/>
    </row>
    <row r="21" spans="1:11" ht="15.6">
      <c r="A21" s="4"/>
      <c r="B21" s="5"/>
      <c r="C21" s="5"/>
      <c r="D21" s="5"/>
      <c r="E21" s="5"/>
      <c r="F21" s="5"/>
      <c r="G21" s="5"/>
      <c r="H21" s="5"/>
      <c r="I21" s="5"/>
      <c r="J21" s="6"/>
      <c r="K21" s="6"/>
    </row>
    <row r="22" spans="1:11" ht="15.6">
      <c r="A22" s="4"/>
      <c r="B22" s="5"/>
      <c r="C22" s="5"/>
      <c r="D22" s="5"/>
      <c r="E22" s="5"/>
      <c r="F22" s="5"/>
      <c r="G22" s="5"/>
      <c r="H22" s="5"/>
      <c r="I22" s="5"/>
      <c r="J22" s="6"/>
      <c r="K22" s="6"/>
    </row>
    <row r="23" spans="1:11" ht="15.6">
      <c r="A23" s="4"/>
      <c r="B23" s="5"/>
      <c r="C23" s="5"/>
      <c r="D23" s="5"/>
      <c r="E23" s="5"/>
      <c r="F23" s="5"/>
      <c r="G23" s="5"/>
      <c r="H23" s="5"/>
      <c r="I23" s="5"/>
      <c r="J23" s="6"/>
      <c r="K23" s="6"/>
    </row>
    <row r="24" spans="1:11" ht="15.6">
      <c r="A24" s="4"/>
      <c r="B24" s="5"/>
      <c r="C24" s="5"/>
      <c r="D24" s="5"/>
      <c r="E24" s="5"/>
      <c r="F24" s="5"/>
      <c r="G24" s="5"/>
      <c r="H24" s="5"/>
      <c r="I24" s="5"/>
      <c r="J24" s="6"/>
      <c r="K24" s="6"/>
    </row>
    <row r="25" spans="1:11" ht="15.6">
      <c r="A25" s="4"/>
      <c r="B25" s="5"/>
      <c r="C25" s="5"/>
      <c r="D25" s="5"/>
      <c r="E25" s="5"/>
      <c r="F25" s="5"/>
      <c r="G25" s="5"/>
      <c r="H25" s="5"/>
      <c r="I25" s="5"/>
      <c r="J25" s="6"/>
      <c r="K25" s="6"/>
    </row>
    <row r="26" spans="1:11" ht="15.6">
      <c r="A26" s="4"/>
      <c r="B26" s="5"/>
      <c r="C26" s="5"/>
      <c r="D26" s="5"/>
      <c r="E26" s="5"/>
      <c r="F26" s="5"/>
      <c r="G26" s="5"/>
      <c r="H26" s="5"/>
      <c r="I26" s="5"/>
      <c r="J26" s="6"/>
      <c r="K26" s="6"/>
    </row>
    <row r="27" spans="1:11" ht="15.6">
      <c r="A27" s="4"/>
      <c r="B27" s="5"/>
      <c r="C27" s="5"/>
      <c r="D27" s="5"/>
      <c r="E27" s="5"/>
      <c r="F27" s="5"/>
      <c r="G27" s="5"/>
      <c r="H27" s="5"/>
      <c r="I27" s="5"/>
      <c r="J27" s="6"/>
      <c r="K27" s="6"/>
    </row>
    <row r="28" spans="1:11" ht="15.6">
      <c r="A28" s="4"/>
      <c r="B28" s="5"/>
      <c r="C28" s="5"/>
      <c r="D28" s="5"/>
      <c r="E28" s="5"/>
      <c r="F28" s="5"/>
      <c r="G28" s="5"/>
      <c r="H28" s="5"/>
      <c r="I28" s="5"/>
      <c r="J28" s="6"/>
      <c r="K28" s="6"/>
    </row>
    <row r="29" spans="1:11" ht="15.6">
      <c r="A29" s="4"/>
      <c r="B29" s="5"/>
      <c r="C29" s="5"/>
      <c r="D29" s="5"/>
      <c r="E29" s="5"/>
      <c r="F29" s="5"/>
      <c r="G29" s="5"/>
      <c r="H29" s="5"/>
      <c r="I29" s="5"/>
      <c r="J29" s="6"/>
      <c r="K29" s="6"/>
    </row>
    <row r="30" spans="1:11" ht="15.6">
      <c r="A30" s="4"/>
      <c r="B30" s="5"/>
      <c r="C30" s="5"/>
      <c r="D30" s="5"/>
      <c r="E30" s="5"/>
      <c r="F30" s="5"/>
      <c r="G30" s="5"/>
      <c r="H30" s="5"/>
      <c r="I30" s="5"/>
      <c r="J30" s="6"/>
      <c r="K30" s="6"/>
    </row>
    <row r="31" spans="1:11" ht="15.6">
      <c r="A31" s="4"/>
      <c r="B31" s="5"/>
      <c r="C31" s="5"/>
      <c r="D31" s="5"/>
      <c r="E31" s="5"/>
      <c r="F31" s="5"/>
      <c r="G31" s="5"/>
      <c r="H31" s="5"/>
      <c r="I31" s="5"/>
      <c r="J31" s="6"/>
      <c r="K31" s="6"/>
    </row>
    <row r="32" spans="1:11" ht="15.6">
      <c r="A32" s="4"/>
      <c r="B32" s="5"/>
      <c r="C32" s="5"/>
      <c r="D32" s="5"/>
      <c r="E32" s="5"/>
      <c r="F32" s="5"/>
      <c r="G32" s="5"/>
      <c r="H32" s="5"/>
      <c r="I32" s="5"/>
      <c r="J32" s="6"/>
      <c r="K32" s="6"/>
    </row>
    <row r="33" spans="1:11" ht="15.6">
      <c r="A33" s="4"/>
      <c r="B33" s="5"/>
      <c r="C33" s="5"/>
      <c r="D33" s="5"/>
      <c r="E33" s="5"/>
      <c r="F33" s="5"/>
      <c r="G33" s="5"/>
      <c r="H33" s="5"/>
      <c r="I33" s="5"/>
      <c r="J33" s="6"/>
      <c r="K33" s="6"/>
    </row>
    <row r="34" spans="1:11" ht="15.6">
      <c r="A34" s="4"/>
      <c r="B34" s="5"/>
      <c r="C34" s="5"/>
      <c r="D34" s="5"/>
      <c r="E34" s="5"/>
      <c r="F34" s="5"/>
      <c r="G34" s="5"/>
      <c r="H34" s="5"/>
      <c r="I34" s="5"/>
      <c r="J34" s="6"/>
      <c r="K34" s="6"/>
    </row>
    <row r="35" spans="1:11" ht="15.6">
      <c r="A35" s="4"/>
      <c r="B35" s="5"/>
      <c r="C35" s="5"/>
      <c r="D35" s="5"/>
      <c r="E35" s="5"/>
      <c r="F35" s="5"/>
      <c r="G35" s="5"/>
      <c r="H35" s="5"/>
      <c r="I35" s="5"/>
      <c r="J35" s="6"/>
      <c r="K35" s="6"/>
    </row>
    <row r="36" spans="1:11" ht="15.6">
      <c r="A36" s="4"/>
      <c r="B36" s="5"/>
      <c r="C36" s="5"/>
      <c r="D36" s="5"/>
      <c r="E36" s="5"/>
      <c r="F36" s="5"/>
      <c r="G36" s="5"/>
      <c r="H36" s="5"/>
      <c r="I36" s="5"/>
      <c r="J36" s="6"/>
      <c r="K36" s="6"/>
    </row>
    <row r="37" spans="1:11" ht="15.6">
      <c r="A37" s="4"/>
      <c r="B37" s="5"/>
      <c r="C37" s="5"/>
      <c r="D37" s="5"/>
      <c r="E37" s="5"/>
      <c r="F37" s="5"/>
      <c r="G37" s="5"/>
      <c r="H37" s="5"/>
      <c r="I37" s="5"/>
      <c r="J37" s="6"/>
      <c r="K37" s="6"/>
    </row>
    <row r="38" spans="1:11" ht="15.6">
      <c r="A38" s="7"/>
      <c r="B38" s="5"/>
      <c r="C38" s="5"/>
      <c r="D38" s="5"/>
      <c r="E38" s="5"/>
      <c r="F38" s="5"/>
      <c r="G38" s="5"/>
      <c r="H38" s="5"/>
      <c r="I38" s="5"/>
    </row>
    <row r="39" spans="1:11" ht="15.6">
      <c r="A39" s="7"/>
      <c r="B39" s="5"/>
      <c r="C39" s="5"/>
      <c r="D39" s="5"/>
      <c r="E39" s="5"/>
      <c r="F39" s="5"/>
      <c r="G39" s="5"/>
      <c r="H39" s="5"/>
      <c r="I39" s="5"/>
    </row>
    <row r="40" spans="1:11" ht="15.6">
      <c r="A40" s="7"/>
      <c r="B40" s="5"/>
      <c r="C40" s="5"/>
      <c r="D40" s="5"/>
      <c r="E40" s="5"/>
      <c r="F40" s="5"/>
      <c r="G40" s="5"/>
      <c r="H40" s="5"/>
      <c r="I40" s="5"/>
    </row>
    <row r="41" spans="1:11" ht="15.6">
      <c r="A41" s="7"/>
      <c r="B41" s="5"/>
      <c r="C41" s="5"/>
      <c r="D41" s="5"/>
      <c r="E41" s="5"/>
      <c r="F41" s="5"/>
      <c r="G41" s="5"/>
      <c r="H41" s="5"/>
      <c r="I41" s="5"/>
    </row>
  </sheetData>
  <pageMargins left="0.7" right="0.7" top="0.78740157499999996" bottom="0.78740157499999996" header="0.3" footer="0.3"/>
  <pageSetup paperSize="9" scale="39" fitToHeight="0"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859E5-80BF-484A-8BAE-DA16CFB16BD4}">
  <dimension ref="A1:AS32"/>
  <sheetViews>
    <sheetView tabSelected="1" zoomScale="90" zoomScaleNormal="90" workbookViewId="0">
      <pane xSplit="8940" topLeftCell="C1" activePane="topRight"/>
      <selection pane="topRight" activeCell="N28" sqref="N28"/>
      <selection activeCell="B18" sqref="B18"/>
    </sheetView>
  </sheetViews>
  <sheetFormatPr defaultColWidth="10.7109375" defaultRowHeight="13.9"/>
  <cols>
    <col min="1" max="1" width="11.42578125" style="11" customWidth="1"/>
    <col min="2" max="2" width="67.7109375" style="13" customWidth="1"/>
    <col min="3" max="3" width="4.140625" style="11" customWidth="1"/>
    <col min="4" max="33" width="16.28515625" style="11" customWidth="1"/>
    <col min="34" max="16384" width="10.7109375" style="11"/>
  </cols>
  <sheetData>
    <row r="1" spans="1:45" ht="30" customHeight="1">
      <c r="A1" s="8" t="s">
        <v>35</v>
      </c>
      <c r="B1" s="9"/>
      <c r="C1" s="10"/>
      <c r="D1" s="10"/>
      <c r="AS1" s="11">
        <v>10</v>
      </c>
    </row>
    <row r="2" spans="1:45" ht="15.6">
      <c r="A2" s="8"/>
      <c r="B2" s="12" t="s">
        <v>36</v>
      </c>
      <c r="C2" s="10"/>
      <c r="D2" s="10"/>
    </row>
    <row r="3" spans="1:45" ht="15.6">
      <c r="A3" s="8"/>
      <c r="B3" s="12" t="s">
        <v>37</v>
      </c>
      <c r="C3" s="10"/>
      <c r="D3" s="10"/>
    </row>
    <row r="4" spans="1:45" ht="15.6">
      <c r="A4" s="8"/>
      <c r="B4" s="12" t="s">
        <v>38</v>
      </c>
      <c r="C4" s="10"/>
      <c r="D4" s="10"/>
    </row>
    <row r="5" spans="1:45" ht="15.6">
      <c r="A5" s="8"/>
      <c r="B5" s="12" t="s">
        <v>39</v>
      </c>
      <c r="C5" s="10"/>
      <c r="D5" s="10"/>
    </row>
    <row r="6" spans="1:45" ht="24" customHeight="1">
      <c r="D6" s="14" t="s">
        <v>40</v>
      </c>
    </row>
    <row r="7" spans="1:45">
      <c r="D7" s="11">
        <f>'TN-Liste'!$C$2</f>
        <v>0</v>
      </c>
      <c r="E7" s="11">
        <f>'TN-Liste'!$C$3</f>
        <v>0</v>
      </c>
      <c r="F7" s="11">
        <f>'TN-Liste'!$C$4</f>
        <v>0</v>
      </c>
      <c r="G7" s="11">
        <f>'TN-Liste'!$C$5</f>
        <v>0</v>
      </c>
      <c r="H7" s="11">
        <f>'TN-Liste'!$C$6</f>
        <v>0</v>
      </c>
      <c r="I7" s="11">
        <f>'TN-Liste'!$C$7</f>
        <v>0</v>
      </c>
      <c r="J7" s="11">
        <f>'TN-Liste'!$C$8</f>
        <v>0</v>
      </c>
      <c r="K7" s="11">
        <f>'TN-Liste'!$C$9</f>
        <v>0</v>
      </c>
      <c r="L7" s="11">
        <f>'TN-Liste'!$C$10</f>
        <v>0</v>
      </c>
      <c r="M7" s="11">
        <f>'TN-Liste'!$C$11</f>
        <v>0</v>
      </c>
      <c r="N7" s="11">
        <f>'TN-Liste'!$C$12</f>
        <v>0</v>
      </c>
      <c r="O7" s="11">
        <f>'TN-Liste'!$C$13</f>
        <v>0</v>
      </c>
      <c r="P7" s="11">
        <f>'TN-Liste'!$C$14</f>
        <v>0</v>
      </c>
      <c r="Q7" s="11">
        <f>'TN-Liste'!$C$15</f>
        <v>0</v>
      </c>
      <c r="R7" s="11">
        <f>'TN-Liste'!$C$16</f>
        <v>0</v>
      </c>
      <c r="S7" s="11">
        <f>'TN-Liste'!$C$17</f>
        <v>0</v>
      </c>
      <c r="T7" s="11">
        <f>'TN-Liste'!$C$18</f>
        <v>0</v>
      </c>
      <c r="U7" s="11">
        <f>'TN-Liste'!$C$19</f>
        <v>0</v>
      </c>
      <c r="V7" s="11">
        <f>'TN-Liste'!$C$20</f>
        <v>0</v>
      </c>
      <c r="W7" s="11">
        <f>'TN-Liste'!$C$21</f>
        <v>0</v>
      </c>
      <c r="X7" s="11">
        <f>'TN-Liste'!$C$22</f>
        <v>0</v>
      </c>
      <c r="Y7" s="11">
        <f>'TN-Liste'!$C$23</f>
        <v>0</v>
      </c>
      <c r="Z7" s="11">
        <f>'TN-Liste'!$C$24</f>
        <v>0</v>
      </c>
      <c r="AA7" s="11">
        <f>'TN-Liste'!$C$25</f>
        <v>0</v>
      </c>
      <c r="AB7" s="11">
        <f>'TN-Liste'!$C$26</f>
        <v>0</v>
      </c>
      <c r="AC7" s="11">
        <f>'TN-Liste'!$C$27</f>
        <v>0</v>
      </c>
      <c r="AD7" s="11">
        <f>'TN-Liste'!$C$28</f>
        <v>0</v>
      </c>
      <c r="AE7" s="11">
        <f>'TN-Liste'!$C$29</f>
        <v>0</v>
      </c>
      <c r="AF7" s="11">
        <f>'TN-Liste'!$C$30</f>
        <v>0</v>
      </c>
      <c r="AG7" s="11">
        <f>'TN-Liste'!$C$31</f>
        <v>0</v>
      </c>
      <c r="AH7" s="11">
        <f>'TN-Liste'!$C$32</f>
        <v>0</v>
      </c>
      <c r="AI7" s="11">
        <f>'TN-Liste'!$C$33</f>
        <v>0</v>
      </c>
      <c r="AJ7" s="11">
        <f>'TN-Liste'!$C$34</f>
        <v>0</v>
      </c>
      <c r="AK7" s="11">
        <f>'TN-Liste'!$C$35</f>
        <v>0</v>
      </c>
      <c r="AL7" s="11">
        <f>'TN-Liste'!$C$36</f>
        <v>0</v>
      </c>
      <c r="AM7" s="11">
        <f>'TN-Liste'!$C$37</f>
        <v>0</v>
      </c>
      <c r="AN7" s="11">
        <f>'TN-Liste'!$C$38</f>
        <v>0</v>
      </c>
      <c r="AO7" s="11">
        <f>'TN-Liste'!$C$39</f>
        <v>0</v>
      </c>
      <c r="AP7" s="11">
        <f>'TN-Liste'!$C$40</f>
        <v>0</v>
      </c>
      <c r="AQ7" s="11">
        <f>'TN-Liste'!$C$41</f>
        <v>0</v>
      </c>
    </row>
    <row r="8" spans="1:45">
      <c r="D8" s="11">
        <f>'TN-Liste'!$B$2</f>
        <v>0</v>
      </c>
      <c r="E8" s="11">
        <f>'TN-Liste'!$B$3</f>
        <v>0</v>
      </c>
      <c r="F8" s="11">
        <f>'TN-Liste'!$B$4</f>
        <v>0</v>
      </c>
      <c r="G8" s="11">
        <f>'TN-Liste'!$B$5</f>
        <v>0</v>
      </c>
      <c r="H8" s="11">
        <f>'TN-Liste'!$B$6</f>
        <v>0</v>
      </c>
      <c r="I8" s="11">
        <f>'TN-Liste'!$B$7</f>
        <v>0</v>
      </c>
      <c r="J8" s="11">
        <f>'TN-Liste'!$B$8</f>
        <v>0</v>
      </c>
      <c r="K8" s="11">
        <f>'TN-Liste'!$B$9</f>
        <v>0</v>
      </c>
      <c r="L8" s="11">
        <f>'TN-Liste'!$B$10</f>
        <v>0</v>
      </c>
      <c r="M8" s="11">
        <f>'TN-Liste'!$B$11</f>
        <v>0</v>
      </c>
      <c r="N8" s="11">
        <f>'TN-Liste'!$B$12</f>
        <v>0</v>
      </c>
      <c r="O8" s="11">
        <f>'TN-Liste'!$B$13</f>
        <v>0</v>
      </c>
      <c r="P8" s="11">
        <f>'TN-Liste'!$B$14</f>
        <v>0</v>
      </c>
      <c r="Q8" s="11">
        <f>'TN-Liste'!$B$15</f>
        <v>0</v>
      </c>
      <c r="R8" s="11">
        <f>'TN-Liste'!$B$16</f>
        <v>0</v>
      </c>
      <c r="S8" s="11">
        <f>'TN-Liste'!$B$17</f>
        <v>0</v>
      </c>
      <c r="T8" s="11">
        <f>'TN-Liste'!$B$18</f>
        <v>0</v>
      </c>
      <c r="U8" s="11">
        <f>'TN-Liste'!$B$19</f>
        <v>0</v>
      </c>
      <c r="V8" s="11">
        <f>'TN-Liste'!$B$20</f>
        <v>0</v>
      </c>
      <c r="W8" s="11">
        <f>'TN-Liste'!$B$21</f>
        <v>0</v>
      </c>
      <c r="X8" s="11">
        <f>'TN-Liste'!$B$22</f>
        <v>0</v>
      </c>
      <c r="Y8" s="11">
        <f>'TN-Liste'!$B$23</f>
        <v>0</v>
      </c>
      <c r="Z8" s="11">
        <f>'TN-Liste'!$B$24</f>
        <v>0</v>
      </c>
      <c r="AA8" s="11">
        <f>'TN-Liste'!$B$25</f>
        <v>0</v>
      </c>
      <c r="AB8" s="11">
        <f>'TN-Liste'!$B$26</f>
        <v>0</v>
      </c>
      <c r="AC8" s="11">
        <f>'TN-Liste'!$B$27</f>
        <v>0</v>
      </c>
      <c r="AD8" s="11">
        <f>'TN-Liste'!$B$28</f>
        <v>0</v>
      </c>
      <c r="AE8" s="11">
        <f>'TN-Liste'!$B$29</f>
        <v>0</v>
      </c>
      <c r="AF8" s="11">
        <f>'TN-Liste'!$B$30</f>
        <v>0</v>
      </c>
      <c r="AG8" s="11">
        <f>'TN-Liste'!$B$31</f>
        <v>0</v>
      </c>
      <c r="AH8" s="11">
        <f>'TN-Liste'!$B$32</f>
        <v>0</v>
      </c>
      <c r="AI8" s="11">
        <f>'TN-Liste'!$B$33</f>
        <v>0</v>
      </c>
      <c r="AJ8" s="11">
        <f>'TN-Liste'!$B$34</f>
        <v>0</v>
      </c>
      <c r="AK8" s="11">
        <f>'TN-Liste'!$B$35</f>
        <v>0</v>
      </c>
      <c r="AL8" s="11">
        <f>'TN-Liste'!$B$36</f>
        <v>0</v>
      </c>
      <c r="AM8" s="11">
        <f>'TN-Liste'!$B$37</f>
        <v>0</v>
      </c>
      <c r="AN8" s="11">
        <f>'TN-Liste'!$B$38</f>
        <v>0</v>
      </c>
      <c r="AO8" s="11">
        <f>'TN-Liste'!$B$39</f>
        <v>0</v>
      </c>
      <c r="AP8" s="11">
        <f>'TN-Liste'!$B$40</f>
        <v>0</v>
      </c>
      <c r="AQ8" s="11">
        <f>'TN-Liste'!$B$41</f>
        <v>0</v>
      </c>
    </row>
    <row r="9" spans="1:45" ht="15.6">
      <c r="A9" s="15" t="s">
        <v>41</v>
      </c>
      <c r="B9" s="16" t="s">
        <v>42</v>
      </c>
    </row>
    <row r="10" spans="1:45">
      <c r="A10" s="17"/>
      <c r="B10" s="18"/>
    </row>
    <row r="11" spans="1:45" ht="41.45">
      <c r="A11" s="19" t="s">
        <v>43</v>
      </c>
      <c r="B11" s="20" t="s">
        <v>44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2"/>
      <c r="AI11" s="62"/>
      <c r="AJ11" s="62"/>
      <c r="AK11" s="62"/>
      <c r="AL11" s="62"/>
      <c r="AM11" s="62"/>
      <c r="AN11" s="62"/>
      <c r="AO11" s="62"/>
      <c r="AP11" s="62"/>
      <c r="AQ11" s="62"/>
    </row>
    <row r="12" spans="1:45" ht="27.6">
      <c r="A12" s="65" t="s">
        <v>45</v>
      </c>
      <c r="B12" s="22" t="s">
        <v>46</v>
      </c>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2"/>
      <c r="AI12" s="62"/>
      <c r="AJ12" s="62"/>
      <c r="AK12" s="62"/>
      <c r="AL12" s="62"/>
      <c r="AM12" s="62"/>
      <c r="AN12" s="62"/>
      <c r="AO12" s="62"/>
      <c r="AP12" s="62"/>
      <c r="AQ12" s="62"/>
    </row>
    <row r="13" spans="1:45">
      <c r="A13" s="66"/>
      <c r="B13" s="22" t="s">
        <v>47</v>
      </c>
      <c r="D13" s="6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2"/>
      <c r="AI13" s="62"/>
      <c r="AJ13" s="62"/>
      <c r="AK13" s="62"/>
      <c r="AL13" s="62"/>
      <c r="AM13" s="62"/>
      <c r="AN13" s="62"/>
      <c r="AO13" s="62"/>
      <c r="AP13" s="62"/>
      <c r="AQ13" s="62"/>
    </row>
    <row r="14" spans="1:45">
      <c r="A14" s="66"/>
      <c r="B14" s="22" t="s">
        <v>48</v>
      </c>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2"/>
      <c r="AI14" s="62"/>
      <c r="AJ14" s="62"/>
      <c r="AK14" s="62"/>
      <c r="AL14" s="62"/>
      <c r="AM14" s="62"/>
      <c r="AN14" s="62"/>
      <c r="AO14" s="62"/>
      <c r="AP14" s="62"/>
      <c r="AQ14" s="62"/>
    </row>
    <row r="15" spans="1:45" ht="41.45">
      <c r="A15" s="66"/>
      <c r="B15" s="22" t="s">
        <v>49</v>
      </c>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2"/>
      <c r="AI15" s="62"/>
      <c r="AJ15" s="62"/>
      <c r="AK15" s="62"/>
      <c r="AL15" s="62"/>
      <c r="AM15" s="62"/>
      <c r="AN15" s="62"/>
      <c r="AO15" s="62"/>
      <c r="AP15" s="62"/>
      <c r="AQ15" s="62"/>
    </row>
    <row r="16" spans="1:45" ht="27.6">
      <c r="A16" s="66"/>
      <c r="B16" s="22" t="s">
        <v>50</v>
      </c>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2"/>
      <c r="AI16" s="62"/>
      <c r="AJ16" s="62"/>
      <c r="AK16" s="62"/>
      <c r="AL16" s="62"/>
      <c r="AM16" s="62"/>
      <c r="AN16" s="62"/>
      <c r="AO16" s="62"/>
      <c r="AP16" s="62"/>
      <c r="AQ16" s="62"/>
    </row>
    <row r="17" spans="1:44" ht="27.6">
      <c r="A17" s="66"/>
      <c r="B17" s="22" t="s">
        <v>51</v>
      </c>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2"/>
      <c r="AI17" s="62"/>
      <c r="AJ17" s="62"/>
      <c r="AK17" s="62"/>
      <c r="AL17" s="62"/>
      <c r="AM17" s="62"/>
      <c r="AN17" s="62"/>
      <c r="AO17" s="62"/>
      <c r="AP17" s="62"/>
      <c r="AQ17" s="62"/>
    </row>
    <row r="18" spans="1:44" ht="27.6">
      <c r="A18" s="67"/>
      <c r="B18" s="22" t="s">
        <v>52</v>
      </c>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2"/>
      <c r="AI18" s="62"/>
      <c r="AJ18" s="62"/>
      <c r="AK18" s="62"/>
      <c r="AL18" s="62"/>
      <c r="AM18" s="62"/>
      <c r="AN18" s="62"/>
      <c r="AO18" s="62"/>
      <c r="AP18" s="62"/>
      <c r="AQ18" s="62"/>
    </row>
    <row r="19" spans="1:44">
      <c r="A19" s="68" t="s">
        <v>53</v>
      </c>
      <c r="B19" s="23" t="s">
        <v>54</v>
      </c>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2"/>
      <c r="AI19" s="62"/>
      <c r="AJ19" s="62"/>
      <c r="AK19" s="62"/>
      <c r="AL19" s="62"/>
      <c r="AM19" s="62"/>
      <c r="AN19" s="62"/>
      <c r="AO19" s="62"/>
      <c r="AP19" s="62"/>
      <c r="AQ19" s="62"/>
    </row>
    <row r="20" spans="1:44">
      <c r="A20" s="69"/>
      <c r="B20" s="23" t="s">
        <v>55</v>
      </c>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2"/>
      <c r="AI20" s="62"/>
      <c r="AJ20" s="62"/>
      <c r="AK20" s="62"/>
      <c r="AL20" s="62"/>
      <c r="AM20" s="62"/>
      <c r="AN20" s="62"/>
      <c r="AO20" s="62"/>
      <c r="AP20" s="62"/>
      <c r="AQ20" s="62"/>
    </row>
    <row r="21" spans="1:44">
      <c r="A21" s="69"/>
      <c r="B21" s="23" t="s">
        <v>56</v>
      </c>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2"/>
      <c r="AI21" s="62"/>
      <c r="AJ21" s="62"/>
      <c r="AK21" s="62"/>
      <c r="AL21" s="62"/>
      <c r="AM21" s="62"/>
      <c r="AN21" s="62"/>
      <c r="AO21" s="62"/>
      <c r="AP21" s="62"/>
      <c r="AQ21" s="62"/>
    </row>
    <row r="22" spans="1:44" ht="41.45">
      <c r="A22" s="69"/>
      <c r="B22" s="23" t="s">
        <v>57</v>
      </c>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2"/>
      <c r="AI22" s="62"/>
      <c r="AJ22" s="62"/>
      <c r="AK22" s="62"/>
      <c r="AL22" s="62"/>
      <c r="AM22" s="62"/>
      <c r="AN22" s="62"/>
      <c r="AO22" s="62"/>
      <c r="AP22" s="62"/>
      <c r="AQ22" s="62"/>
    </row>
    <row r="23" spans="1:44">
      <c r="A23" s="69"/>
      <c r="B23" s="23" t="s">
        <v>58</v>
      </c>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2"/>
      <c r="AI23" s="62"/>
      <c r="AJ23" s="62"/>
      <c r="AK23" s="62"/>
      <c r="AL23" s="62"/>
      <c r="AM23" s="62"/>
      <c r="AN23" s="62"/>
      <c r="AO23" s="62"/>
      <c r="AP23" s="62"/>
      <c r="AQ23" s="62"/>
    </row>
    <row r="24" spans="1:44" ht="27.6">
      <c r="A24" s="69"/>
      <c r="B24" s="23" t="s">
        <v>59</v>
      </c>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2"/>
      <c r="AI24" s="62"/>
      <c r="AJ24" s="62"/>
      <c r="AK24" s="62"/>
      <c r="AL24" s="62"/>
      <c r="AM24" s="62"/>
      <c r="AN24" s="62"/>
      <c r="AO24" s="62"/>
      <c r="AP24" s="62"/>
      <c r="AQ24" s="62"/>
    </row>
    <row r="25" spans="1:44">
      <c r="A25" s="70"/>
      <c r="B25" s="23" t="s">
        <v>60</v>
      </c>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2"/>
      <c r="AI25" s="62"/>
      <c r="AJ25" s="62"/>
      <c r="AK25" s="62"/>
      <c r="AL25" s="62"/>
      <c r="AM25" s="62"/>
      <c r="AN25" s="62"/>
      <c r="AO25" s="62"/>
      <c r="AP25" s="62"/>
      <c r="AQ25" s="62"/>
    </row>
    <row r="26" spans="1:44">
      <c r="A26" s="71" t="s">
        <v>61</v>
      </c>
      <c r="B26" s="24" t="s">
        <v>62</v>
      </c>
      <c r="D26" s="6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2"/>
      <c r="AI26" s="62"/>
      <c r="AJ26" s="62"/>
      <c r="AK26" s="62"/>
      <c r="AL26" s="62"/>
      <c r="AM26" s="62"/>
      <c r="AN26" s="62"/>
      <c r="AO26" s="62"/>
      <c r="AP26" s="62"/>
      <c r="AQ26" s="62"/>
    </row>
    <row r="27" spans="1:44" ht="55.15">
      <c r="A27" s="72"/>
      <c r="B27" s="24" t="s">
        <v>63</v>
      </c>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2"/>
      <c r="AI27" s="62"/>
      <c r="AJ27" s="62"/>
      <c r="AK27" s="62"/>
      <c r="AL27" s="62"/>
      <c r="AM27" s="62"/>
      <c r="AN27" s="62"/>
      <c r="AO27" s="62"/>
      <c r="AP27" s="62"/>
      <c r="AQ27" s="62"/>
    </row>
    <row r="28" spans="1:44">
      <c r="A28" s="72"/>
      <c r="B28" s="24" t="s">
        <v>64</v>
      </c>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2"/>
      <c r="AI28" s="62"/>
      <c r="AJ28" s="62"/>
      <c r="AK28" s="62"/>
      <c r="AL28" s="62"/>
      <c r="AM28" s="62"/>
      <c r="AN28" s="62"/>
      <c r="AO28" s="62"/>
      <c r="AP28" s="62"/>
      <c r="AQ28" s="62"/>
    </row>
    <row r="29" spans="1:44">
      <c r="A29" s="72"/>
      <c r="B29" s="24" t="s">
        <v>65</v>
      </c>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2"/>
      <c r="AI29" s="62"/>
      <c r="AJ29" s="62"/>
      <c r="AK29" s="62"/>
      <c r="AL29" s="62"/>
      <c r="AM29" s="62"/>
      <c r="AN29" s="62"/>
      <c r="AO29" s="62"/>
      <c r="AP29" s="62"/>
      <c r="AQ29" s="62"/>
    </row>
    <row r="30" spans="1:44" ht="165.6">
      <c r="A30" s="73"/>
      <c r="B30" s="24" t="s">
        <v>66</v>
      </c>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21"/>
    </row>
    <row r="32" spans="1:44" s="25" customFormat="1" ht="36" customHeight="1">
      <c r="B32" s="26" t="s">
        <v>67</v>
      </c>
      <c r="D32" s="25">
        <f>SUM(D11:D30)</f>
        <v>0</v>
      </c>
      <c r="E32" s="25">
        <f t="shared" ref="E32:AQ32" si="0">SUM(E11:E30)</f>
        <v>0</v>
      </c>
      <c r="F32" s="25">
        <f t="shared" si="0"/>
        <v>0</v>
      </c>
      <c r="G32" s="25">
        <f t="shared" si="0"/>
        <v>0</v>
      </c>
      <c r="H32" s="25">
        <f t="shared" si="0"/>
        <v>0</v>
      </c>
      <c r="I32" s="25">
        <f t="shared" si="0"/>
        <v>0</v>
      </c>
      <c r="J32" s="25">
        <f t="shared" si="0"/>
        <v>0</v>
      </c>
      <c r="K32" s="25">
        <f t="shared" si="0"/>
        <v>0</v>
      </c>
      <c r="L32" s="25">
        <f t="shared" si="0"/>
        <v>0</v>
      </c>
      <c r="M32" s="25">
        <f t="shared" si="0"/>
        <v>0</v>
      </c>
      <c r="N32" s="25">
        <f t="shared" si="0"/>
        <v>0</v>
      </c>
      <c r="O32" s="25">
        <f t="shared" si="0"/>
        <v>0</v>
      </c>
      <c r="P32" s="25">
        <f t="shared" si="0"/>
        <v>0</v>
      </c>
      <c r="Q32" s="25">
        <f t="shared" si="0"/>
        <v>0</v>
      </c>
      <c r="R32" s="25">
        <f t="shared" si="0"/>
        <v>0</v>
      </c>
      <c r="S32" s="25">
        <f t="shared" si="0"/>
        <v>0</v>
      </c>
      <c r="T32" s="25">
        <f t="shared" si="0"/>
        <v>0</v>
      </c>
      <c r="U32" s="25">
        <f t="shared" si="0"/>
        <v>0</v>
      </c>
      <c r="V32" s="25">
        <f t="shared" si="0"/>
        <v>0</v>
      </c>
      <c r="W32" s="25">
        <f t="shared" si="0"/>
        <v>0</v>
      </c>
      <c r="X32" s="25">
        <f t="shared" si="0"/>
        <v>0</v>
      </c>
      <c r="Y32" s="25">
        <f t="shared" si="0"/>
        <v>0</v>
      </c>
      <c r="Z32" s="25">
        <f t="shared" si="0"/>
        <v>0</v>
      </c>
      <c r="AA32" s="25">
        <f t="shared" si="0"/>
        <v>0</v>
      </c>
      <c r="AB32" s="25">
        <f t="shared" si="0"/>
        <v>0</v>
      </c>
      <c r="AC32" s="25">
        <f t="shared" si="0"/>
        <v>0</v>
      </c>
      <c r="AD32" s="25">
        <f t="shared" si="0"/>
        <v>0</v>
      </c>
      <c r="AE32" s="25">
        <f t="shared" si="0"/>
        <v>0</v>
      </c>
      <c r="AF32" s="25">
        <f t="shared" si="0"/>
        <v>0</v>
      </c>
      <c r="AG32" s="25">
        <f t="shared" si="0"/>
        <v>0</v>
      </c>
      <c r="AH32" s="25">
        <f t="shared" si="0"/>
        <v>0</v>
      </c>
      <c r="AI32" s="25">
        <f t="shared" si="0"/>
        <v>0</v>
      </c>
      <c r="AJ32" s="25">
        <f t="shared" si="0"/>
        <v>0</v>
      </c>
      <c r="AK32" s="25">
        <f t="shared" si="0"/>
        <v>0</v>
      </c>
      <c r="AL32" s="25">
        <f t="shared" si="0"/>
        <v>0</v>
      </c>
      <c r="AM32" s="25">
        <f t="shared" si="0"/>
        <v>0</v>
      </c>
      <c r="AN32" s="25">
        <f t="shared" si="0"/>
        <v>0</v>
      </c>
      <c r="AO32" s="25">
        <f t="shared" si="0"/>
        <v>0</v>
      </c>
      <c r="AP32" s="25">
        <f t="shared" si="0"/>
        <v>0</v>
      </c>
      <c r="AQ32" s="25">
        <f t="shared" si="0"/>
        <v>0</v>
      </c>
    </row>
  </sheetData>
  <sheetProtection sheet="1" objects="1" scenarios="1"/>
  <mergeCells count="3">
    <mergeCell ref="A12:A18"/>
    <mergeCell ref="A19:A25"/>
    <mergeCell ref="A26:A30"/>
  </mergeCells>
  <pageMargins left="0.7" right="0.7" top="0.78740157499999996" bottom="0.78740157499999996"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3B8A5-A55F-B74A-BAD3-380C77F526E0}">
  <dimension ref="A1:C36"/>
  <sheetViews>
    <sheetView view="pageLayout" zoomScale="82" zoomScaleNormal="80" zoomScalePageLayoutView="82" workbookViewId="0">
      <selection activeCell="B38" sqref="B38"/>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OFFSET(Bewertungen!$D$7,Bewertungen!$AS$10,0)</f>
        <v>0</v>
      </c>
    </row>
    <row r="6" spans="1:3">
      <c r="A6" s="28" t="s">
        <v>72</v>
      </c>
      <c r="B6" s="28">
        <f ca="1">OFFSET(Bewertungen!$D$8,Bewertungen!$AS$10,0)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OFFSET(Bewertungen!$D$32,Bewertungen!$AS$10,0)</f>
        <v>0</v>
      </c>
    </row>
    <row r="15" spans="1:3">
      <c r="A15" s="42" t="s">
        <v>41</v>
      </c>
      <c r="B15" s="45" t="s">
        <v>42</v>
      </c>
      <c r="C15" s="43" t="s">
        <v>76</v>
      </c>
    </row>
    <row r="16" spans="1:3" ht="13.9" thickBot="1">
      <c r="A16" s="46"/>
      <c r="B16" s="47"/>
      <c r="C16" s="44"/>
    </row>
    <row r="17" spans="1:3" ht="26.45">
      <c r="A17" s="34" t="s">
        <v>43</v>
      </c>
      <c r="B17" s="39" t="s">
        <v>44</v>
      </c>
      <c r="C17" s="40">
        <f ca="1">OFFSET(Bewertungen!D11,Bewertungen!$AS$10,0)</f>
        <v>0</v>
      </c>
    </row>
    <row r="18" spans="1:3" ht="26.45">
      <c r="A18" s="74" t="s">
        <v>77</v>
      </c>
      <c r="B18" s="35" t="s">
        <v>78</v>
      </c>
      <c r="C18" s="31">
        <f ca="1">OFFSET(Bewertungen!D12,Bewertungen!$AS$10,0)</f>
        <v>0</v>
      </c>
    </row>
    <row r="19" spans="1:3">
      <c r="A19" s="75"/>
      <c r="B19" s="36" t="s">
        <v>79</v>
      </c>
      <c r="C19" s="32">
        <f ca="1">OFFSET(Bewertungen!D13,Bewertungen!$AS$10,0)</f>
        <v>0</v>
      </c>
    </row>
    <row r="20" spans="1:3">
      <c r="A20" s="75"/>
      <c r="B20" s="36" t="s">
        <v>48</v>
      </c>
      <c r="C20" s="32">
        <f ca="1">OFFSET(Bewertungen!D14,Bewertungen!$AS$10,0)</f>
        <v>0</v>
      </c>
    </row>
    <row r="21" spans="1:3" ht="39.6">
      <c r="A21" s="75"/>
      <c r="B21" s="36" t="s">
        <v>49</v>
      </c>
      <c r="C21" s="32">
        <f ca="1">OFFSET(Bewertungen!D15,Bewertungen!$AS$10,0)</f>
        <v>0</v>
      </c>
    </row>
    <row r="22" spans="1:3" ht="26.45">
      <c r="A22" s="75"/>
      <c r="B22" s="36" t="s">
        <v>50</v>
      </c>
      <c r="C22" s="32">
        <f ca="1">OFFSET(Bewertungen!D16,Bewertungen!$AS$10,0)</f>
        <v>0</v>
      </c>
    </row>
    <row r="23" spans="1:3" ht="26.45">
      <c r="A23" s="75"/>
      <c r="B23" s="36" t="s">
        <v>51</v>
      </c>
      <c r="C23" s="32">
        <f ca="1">OFFSET(Bewertungen!D17,Bewertungen!$AS$10,0)</f>
        <v>0</v>
      </c>
    </row>
    <row r="24" spans="1:3" ht="26.45">
      <c r="A24" s="76"/>
      <c r="B24" s="37" t="s">
        <v>52</v>
      </c>
      <c r="C24" s="33">
        <f ca="1">OFFSET(Bewertungen!D18,Bewertungen!$AS$10,0)</f>
        <v>0</v>
      </c>
    </row>
    <row r="25" spans="1:3" ht="26.45">
      <c r="A25" s="74" t="s">
        <v>80</v>
      </c>
      <c r="B25" s="38" t="s">
        <v>54</v>
      </c>
      <c r="C25" s="31">
        <f ca="1">OFFSET(Bewertungen!D19,Bewertungen!$AS$10,0)</f>
        <v>0</v>
      </c>
    </row>
    <row r="26" spans="1:3" ht="26.45">
      <c r="A26" s="75"/>
      <c r="B26" s="36" t="s">
        <v>81</v>
      </c>
      <c r="C26" s="32">
        <f ca="1">OFFSET(Bewertungen!D20,Bewertungen!$AS$10,0)</f>
        <v>0</v>
      </c>
    </row>
    <row r="27" spans="1:3" ht="26.45">
      <c r="A27" s="75"/>
      <c r="B27" s="36" t="s">
        <v>56</v>
      </c>
      <c r="C27" s="32">
        <f ca="1">OFFSET(Bewertungen!D21,Bewertungen!$AS$10,0)</f>
        <v>0</v>
      </c>
    </row>
    <row r="28" spans="1:3" ht="39.6">
      <c r="A28" s="75"/>
      <c r="B28" s="36" t="s">
        <v>57</v>
      </c>
      <c r="C28" s="32">
        <f ca="1">OFFSET(Bewertungen!D22,Bewertungen!$AS$10,0)</f>
        <v>0</v>
      </c>
    </row>
    <row r="29" spans="1:3">
      <c r="A29" s="75"/>
      <c r="B29" s="36" t="s">
        <v>58</v>
      </c>
      <c r="C29" s="32">
        <f ca="1">OFFSET(Bewertungen!D23,Bewertungen!$AS$10,0)</f>
        <v>0</v>
      </c>
    </row>
    <row r="30" spans="1:3" ht="26.45">
      <c r="A30" s="75"/>
      <c r="B30" s="36" t="s">
        <v>59</v>
      </c>
      <c r="C30" s="32">
        <f ca="1">OFFSET(Bewertungen!D24,Bewertungen!$AS$10,0)</f>
        <v>0</v>
      </c>
    </row>
    <row r="31" spans="1:3" ht="26.45">
      <c r="A31" s="76"/>
      <c r="B31" s="37" t="s">
        <v>60</v>
      </c>
      <c r="C31" s="33">
        <f ca="1">OFFSET(Bewertungen!D25,Bewertungen!$AS$10,0)</f>
        <v>0</v>
      </c>
    </row>
    <row r="32" spans="1:3" ht="26.45">
      <c r="A32" s="74" t="s">
        <v>61</v>
      </c>
      <c r="B32" s="35" t="s">
        <v>62</v>
      </c>
      <c r="C32" s="31">
        <f ca="1">OFFSET(Bewertungen!D26,Bewertungen!$AS$10,0)</f>
        <v>0</v>
      </c>
    </row>
    <row r="33" spans="1:3" ht="66">
      <c r="A33" s="75"/>
      <c r="B33" s="36" t="s">
        <v>63</v>
      </c>
      <c r="C33" s="32">
        <f ca="1">OFFSET(Bewertungen!D27,Bewertungen!$AS$10,0)</f>
        <v>0</v>
      </c>
    </row>
    <row r="34" spans="1:3" ht="26.45">
      <c r="A34" s="75"/>
      <c r="B34" s="36" t="s">
        <v>64</v>
      </c>
      <c r="C34" s="32">
        <f ca="1">OFFSET(Bewertungen!D28,Bewertungen!$AS$10,0)</f>
        <v>0</v>
      </c>
    </row>
    <row r="35" spans="1:3">
      <c r="A35" s="75"/>
      <c r="B35" s="36" t="s">
        <v>82</v>
      </c>
      <c r="C35" s="32">
        <f ca="1">OFFSET(Bewertungen!D29,Bewertungen!$AS$10,0)</f>
        <v>0</v>
      </c>
    </row>
    <row r="36" spans="1:3" ht="26.45">
      <c r="A36" s="76"/>
      <c r="B36" s="37" t="s">
        <v>83</v>
      </c>
      <c r="C36" s="33">
        <f ca="1">OFFSET(Bewertungen!D30,Bewertungen!$AS$10,0)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019C-6407-4370-9564-63BA7B2C60F7}">
  <dimension ref="A1:C36"/>
  <sheetViews>
    <sheetView view="pageLayout" topLeftCell="A27" zoomScale="82" zoomScaleNormal="80" zoomScalePageLayoutView="82" workbookViewId="0">
      <selection activeCell="C16" sqref="C16"/>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OFFSET(Bewertungen!$E$7,Bewertungen!$AS$10,0)</f>
        <v>0</v>
      </c>
    </row>
    <row r="6" spans="1:3">
      <c r="A6" s="28" t="s">
        <v>72</v>
      </c>
      <c r="B6" s="28">
        <f ca="1">OFFSET(Bewertungen!$E$8,Bewertungen!$AS$10,0)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OFFSET(Bewertungen!$E$32,Bewertungen!$AS$10,0)</f>
        <v>0</v>
      </c>
    </row>
    <row r="15" spans="1:3">
      <c r="A15" s="42" t="s">
        <v>41</v>
      </c>
      <c r="B15" s="45" t="s">
        <v>42</v>
      </c>
      <c r="C15" s="43" t="s">
        <v>76</v>
      </c>
    </row>
    <row r="16" spans="1:3" ht="13.9" thickBot="1">
      <c r="A16" s="46"/>
      <c r="B16" s="47"/>
      <c r="C16" s="41"/>
    </row>
    <row r="17" spans="1:3" ht="26.45">
      <c r="A17" s="34" t="s">
        <v>43</v>
      </c>
      <c r="B17" s="39" t="s">
        <v>44</v>
      </c>
      <c r="C17" s="33">
        <f ca="1">OFFSET(Bewertungen!E11,Bewertungen!$AS$10,0)</f>
        <v>0</v>
      </c>
    </row>
    <row r="18" spans="1:3" ht="26.45">
      <c r="A18" s="74" t="s">
        <v>77</v>
      </c>
      <c r="B18" s="59" t="s">
        <v>78</v>
      </c>
      <c r="C18" s="53">
        <f ca="1">OFFSET(Bewertungen!E12,Bewertungen!$AS$10,0)</f>
        <v>0</v>
      </c>
    </row>
    <row r="19" spans="1:3">
      <c r="A19" s="75"/>
      <c r="B19" s="56" t="s">
        <v>79</v>
      </c>
      <c r="C19" s="53">
        <f ca="1">OFFSET(Bewertungen!E13,Bewertungen!$AS$10,0)</f>
        <v>0</v>
      </c>
    </row>
    <row r="20" spans="1:3">
      <c r="A20" s="75"/>
      <c r="B20" s="56" t="s">
        <v>48</v>
      </c>
      <c r="C20" s="53">
        <f ca="1">OFFSET(Bewertungen!E14,Bewertungen!$AS$10,0)</f>
        <v>0</v>
      </c>
    </row>
    <row r="21" spans="1:3" ht="39.6">
      <c r="A21" s="75"/>
      <c r="B21" s="60" t="s">
        <v>49</v>
      </c>
      <c r="C21" s="53">
        <f ca="1">OFFSET(Bewertungen!E15,Bewertungen!$AS$10,0)</f>
        <v>0</v>
      </c>
    </row>
    <row r="22" spans="1:3" ht="26.45">
      <c r="A22" s="75"/>
      <c r="B22" s="58" t="s">
        <v>50</v>
      </c>
      <c r="C22" s="53">
        <f ca="1">OFFSET(Bewertungen!E16,Bewertungen!$AS$10,0)</f>
        <v>0</v>
      </c>
    </row>
    <row r="23" spans="1:3" ht="26.45">
      <c r="A23" s="75"/>
      <c r="B23" s="59" t="s">
        <v>51</v>
      </c>
      <c r="C23" s="53">
        <f ca="1">OFFSET(Bewertungen!E17,Bewertungen!$AS$10,0)</f>
        <v>0</v>
      </c>
    </row>
    <row r="24" spans="1:3" ht="26.45">
      <c r="A24" s="76"/>
      <c r="B24" s="57" t="s">
        <v>52</v>
      </c>
      <c r="C24" s="40">
        <f ca="1">OFFSET(Bewertungen!E18,Bewertungen!$AS$10,0)</f>
        <v>0</v>
      </c>
    </row>
    <row r="25" spans="1:3" ht="26.45">
      <c r="A25" s="74" t="s">
        <v>80</v>
      </c>
      <c r="B25" s="54" t="s">
        <v>54</v>
      </c>
      <c r="C25" s="31">
        <f ca="1">OFFSET(Bewertungen!E19,Bewertungen!$AS$10,0)</f>
        <v>0</v>
      </c>
    </row>
    <row r="26" spans="1:3" ht="26.45">
      <c r="A26" s="75"/>
      <c r="B26" s="56" t="s">
        <v>81</v>
      </c>
      <c r="C26" s="32">
        <f ca="1">OFFSET(Bewertungen!E20,Bewertungen!$AS$10,0)</f>
        <v>0</v>
      </c>
    </row>
    <row r="27" spans="1:3" ht="26.45">
      <c r="A27" s="75"/>
      <c r="B27" s="56" t="s">
        <v>56</v>
      </c>
      <c r="C27" s="32">
        <f ca="1">OFFSET(Bewertungen!E21,Bewertungen!$AS$10,0)</f>
        <v>0</v>
      </c>
    </row>
    <row r="28" spans="1:3" ht="39.6">
      <c r="A28" s="75"/>
      <c r="B28" s="56" t="s">
        <v>57</v>
      </c>
      <c r="C28" s="32">
        <f ca="1">OFFSET(Bewertungen!E22,Bewertungen!$AS$10,0)</f>
        <v>0</v>
      </c>
    </row>
    <row r="29" spans="1:3">
      <c r="A29" s="75"/>
      <c r="B29" s="56" t="s">
        <v>58</v>
      </c>
      <c r="C29" s="32">
        <f ca="1">OFFSET(Bewertungen!E23,Bewertungen!$AS$10,0)</f>
        <v>0</v>
      </c>
    </row>
    <row r="30" spans="1:3" ht="26.45">
      <c r="A30" s="75"/>
      <c r="B30" s="56" t="s">
        <v>59</v>
      </c>
      <c r="C30" s="32">
        <f ca="1">OFFSET(Bewertungen!E24,Bewertungen!$AS$10,0)</f>
        <v>0</v>
      </c>
    </row>
    <row r="31" spans="1:3" ht="26.45">
      <c r="A31" s="76"/>
      <c r="B31" s="57" t="s">
        <v>60</v>
      </c>
      <c r="C31" s="33">
        <f ca="1">OFFSET(Bewertungen!E25,Bewertungen!$AS$10,0)</f>
        <v>0</v>
      </c>
    </row>
    <row r="32" spans="1:3" ht="26.45">
      <c r="A32" s="74" t="s">
        <v>61</v>
      </c>
      <c r="B32" s="55" t="s">
        <v>62</v>
      </c>
      <c r="C32" s="31">
        <f ca="1">OFFSET(Bewertungen!E26,Bewertungen!$AS$10,0)</f>
        <v>0</v>
      </c>
    </row>
    <row r="33" spans="1:3" ht="66">
      <c r="A33" s="75"/>
      <c r="B33" s="54" t="s">
        <v>63</v>
      </c>
      <c r="C33" s="32">
        <f ca="1">OFFSET(Bewertungen!E27,Bewertungen!$AS$10,0)</f>
        <v>0</v>
      </c>
    </row>
    <row r="34" spans="1:3" ht="26.45">
      <c r="A34" s="75"/>
      <c r="B34" s="56" t="s">
        <v>64</v>
      </c>
      <c r="C34" s="32">
        <f ca="1">OFFSET(Bewertungen!E28,Bewertungen!$AS$10,0)</f>
        <v>0</v>
      </c>
    </row>
    <row r="35" spans="1:3">
      <c r="A35" s="75"/>
      <c r="B35" s="56" t="s">
        <v>82</v>
      </c>
      <c r="C35" s="32">
        <f ca="1">OFFSET(Bewertungen!E29,Bewertungen!$AS$10,0)</f>
        <v>0</v>
      </c>
    </row>
    <row r="36" spans="1:3" ht="26.45">
      <c r="A36" s="76"/>
      <c r="B36" s="57" t="s">
        <v>83</v>
      </c>
      <c r="C36" s="33">
        <f ca="1">OFFSET(Bewertungen!E30,Bewertungen!$AS$10,0)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A8D9B-9C50-4593-834B-96B3BF4582C8}">
  <dimension ref="A1:C36"/>
  <sheetViews>
    <sheetView view="pageLayout" topLeftCell="A28" zoomScale="82" zoomScaleNormal="80" zoomScalePageLayoutView="82" workbookViewId="0">
      <selection activeCell="C16" sqref="A15:C16"/>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OFFSET(Bewertungen!$F$7,Bewertungen!$AS$10,0)</f>
        <v>0</v>
      </c>
    </row>
    <row r="6" spans="1:3">
      <c r="A6" s="28" t="s">
        <v>72</v>
      </c>
      <c r="B6" s="28">
        <f ca="1">OFFSET(Bewertungen!$F$8,Bewertungen!$AS$10,0)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OFFSET(Bewertungen!$F$32,Bewertungen!$AS$10,0)</f>
        <v>0</v>
      </c>
    </row>
    <row r="15" spans="1:3">
      <c r="A15" s="42" t="s">
        <v>41</v>
      </c>
      <c r="B15" s="45" t="s">
        <v>42</v>
      </c>
      <c r="C15" s="43" t="s">
        <v>76</v>
      </c>
    </row>
    <row r="16" spans="1:3" ht="13.9" thickBot="1">
      <c r="A16" s="46"/>
      <c r="B16" s="47"/>
      <c r="C16" s="44"/>
    </row>
    <row r="17" spans="1:3" ht="26.45">
      <c r="A17" s="34" t="s">
        <v>43</v>
      </c>
      <c r="B17" s="48" t="s">
        <v>44</v>
      </c>
      <c r="C17" s="33">
        <f ca="1">OFFSET(Bewertungen!F11,Bewertungen!$AS$10,0)</f>
        <v>0</v>
      </c>
    </row>
    <row r="18" spans="1:3" ht="26.45">
      <c r="A18" s="74" t="s">
        <v>77</v>
      </c>
      <c r="B18" s="35" t="s">
        <v>78</v>
      </c>
      <c r="C18" s="32">
        <f ca="1">OFFSET(Bewertungen!F12,Bewertungen!$AS$10,0)</f>
        <v>0</v>
      </c>
    </row>
    <row r="19" spans="1:3">
      <c r="A19" s="75"/>
      <c r="B19" s="36" t="s">
        <v>79</v>
      </c>
      <c r="C19" s="32">
        <f ca="1">OFFSET(Bewertungen!F13,Bewertungen!$AS$10,0)</f>
        <v>0</v>
      </c>
    </row>
    <row r="20" spans="1:3">
      <c r="A20" s="75"/>
      <c r="B20" s="36" t="s">
        <v>48</v>
      </c>
      <c r="C20" s="32">
        <f ca="1">OFFSET(Bewertungen!F14,Bewertungen!$AS$10,0)</f>
        <v>0</v>
      </c>
    </row>
    <row r="21" spans="1:3" ht="39.6">
      <c r="A21" s="75"/>
      <c r="B21" s="36" t="s">
        <v>49</v>
      </c>
      <c r="C21" s="32">
        <f ca="1">OFFSET(Bewertungen!F15,Bewertungen!$AS$10,0)</f>
        <v>0</v>
      </c>
    </row>
    <row r="22" spans="1:3" ht="26.45">
      <c r="A22" s="75"/>
      <c r="B22" s="36" t="s">
        <v>50</v>
      </c>
      <c r="C22" s="32">
        <f ca="1">OFFSET(Bewertungen!F16,Bewertungen!$AS$10,0)</f>
        <v>0</v>
      </c>
    </row>
    <row r="23" spans="1:3" ht="26.45">
      <c r="A23" s="75"/>
      <c r="B23" s="36" t="s">
        <v>51</v>
      </c>
      <c r="C23" s="32">
        <f ca="1">OFFSET(Bewertungen!F17,Bewertungen!$AS$10,0)</f>
        <v>0</v>
      </c>
    </row>
    <row r="24" spans="1:3" ht="26.45">
      <c r="A24" s="76"/>
      <c r="B24" s="37" t="s">
        <v>52</v>
      </c>
      <c r="C24" s="32">
        <f ca="1">OFFSET(Bewertungen!F18,Bewertungen!$AS$10,0)</f>
        <v>0</v>
      </c>
    </row>
    <row r="25" spans="1:3" ht="26.45">
      <c r="A25" s="74" t="s">
        <v>80</v>
      </c>
      <c r="B25" s="38" t="s">
        <v>54</v>
      </c>
      <c r="C25" s="31">
        <f ca="1">OFFSET(Bewertungen!F19,Bewertungen!$AS$10,0)</f>
        <v>0</v>
      </c>
    </row>
    <row r="26" spans="1:3" ht="26.45">
      <c r="A26" s="75"/>
      <c r="B26" s="36" t="s">
        <v>81</v>
      </c>
      <c r="C26" s="32">
        <f ca="1">OFFSET(Bewertungen!F20,Bewertungen!$AS$10,0)</f>
        <v>0</v>
      </c>
    </row>
    <row r="27" spans="1:3" ht="26.45">
      <c r="A27" s="75"/>
      <c r="B27" s="36" t="s">
        <v>56</v>
      </c>
      <c r="C27" s="32">
        <f ca="1">OFFSET(Bewertungen!F21,Bewertungen!$AS$10,0)</f>
        <v>0</v>
      </c>
    </row>
    <row r="28" spans="1:3" ht="39.6">
      <c r="A28" s="75"/>
      <c r="B28" s="36" t="s">
        <v>57</v>
      </c>
      <c r="C28" s="32">
        <f ca="1">OFFSET(Bewertungen!F22,Bewertungen!$AS$10,0)</f>
        <v>0</v>
      </c>
    </row>
    <row r="29" spans="1:3">
      <c r="A29" s="75"/>
      <c r="B29" s="36" t="s">
        <v>58</v>
      </c>
      <c r="C29" s="32">
        <f ca="1">OFFSET(Bewertungen!F23,Bewertungen!$AS$10,0)</f>
        <v>0</v>
      </c>
    </row>
    <row r="30" spans="1:3" ht="26.45">
      <c r="A30" s="75"/>
      <c r="B30" s="36" t="s">
        <v>59</v>
      </c>
      <c r="C30" s="32">
        <f ca="1">OFFSET(Bewertungen!F24,Bewertungen!$AS$10,0)</f>
        <v>0</v>
      </c>
    </row>
    <row r="31" spans="1:3" ht="26.45">
      <c r="A31" s="76"/>
      <c r="B31" s="37" t="s">
        <v>60</v>
      </c>
      <c r="C31" s="33">
        <f ca="1">OFFSET(Bewertungen!F25,Bewertungen!$AS$10,0)</f>
        <v>0</v>
      </c>
    </row>
    <row r="32" spans="1:3" ht="26.45">
      <c r="A32" s="74" t="s">
        <v>61</v>
      </c>
      <c r="B32" s="35" t="s">
        <v>62</v>
      </c>
      <c r="C32" s="32">
        <f ca="1">OFFSET(Bewertungen!F26,Bewertungen!$AS$10,0)</f>
        <v>0</v>
      </c>
    </row>
    <row r="33" spans="1:3" ht="66">
      <c r="A33" s="75"/>
      <c r="B33" s="36" t="s">
        <v>63</v>
      </c>
      <c r="C33" s="32">
        <f ca="1">OFFSET(Bewertungen!F27,Bewertungen!$AS$10,0)</f>
        <v>0</v>
      </c>
    </row>
    <row r="34" spans="1:3" ht="26.45">
      <c r="A34" s="75"/>
      <c r="B34" s="36" t="s">
        <v>64</v>
      </c>
      <c r="C34" s="32">
        <f ca="1">OFFSET(Bewertungen!F28,Bewertungen!$AS$10,0)</f>
        <v>0</v>
      </c>
    </row>
    <row r="35" spans="1:3">
      <c r="A35" s="75"/>
      <c r="B35" s="36" t="s">
        <v>82</v>
      </c>
      <c r="C35" s="32">
        <f ca="1">OFFSET(Bewertungen!F29,Bewertungen!$AS$10,0)</f>
        <v>0</v>
      </c>
    </row>
    <row r="36" spans="1:3" ht="26.45">
      <c r="A36" s="76"/>
      <c r="B36" s="37" t="s">
        <v>83</v>
      </c>
      <c r="C36" s="33">
        <f ca="1">OFFSET(Bewertungen!F30,Bewertungen!$AS$10,0)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A1DF5-2F32-45C1-9778-90ED87B28258}">
  <dimension ref="A1:C36"/>
  <sheetViews>
    <sheetView view="pageLayout" topLeftCell="A25" zoomScale="82" zoomScaleNormal="80" zoomScalePageLayoutView="82" workbookViewId="0">
      <selection activeCell="C13" sqref="C13"/>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OFFSET(Bewertungen!$G$7,Bewertungen!$AS$10,0)</f>
        <v>0</v>
      </c>
    </row>
    <row r="6" spans="1:3">
      <c r="A6" s="28" t="s">
        <v>72</v>
      </c>
      <c r="B6" s="28">
        <f ca="1">OFFSET(Bewertungen!$G$8,Bewertungen!$AS$10,0)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OFFSET(Bewertungen!$G$32,Bewertungen!$AS$10,0)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OFFSET(Bewertungen!G11,Bewertungen!$AS$10,0)</f>
        <v>0</v>
      </c>
    </row>
    <row r="18" spans="1:3" ht="26.45">
      <c r="A18" s="74" t="s">
        <v>77</v>
      </c>
      <c r="B18" s="49" t="s">
        <v>78</v>
      </c>
      <c r="C18" s="31">
        <f ca="1">OFFSET(Bewertungen!G12,Bewertungen!$AS$10,0)</f>
        <v>0</v>
      </c>
    </row>
    <row r="19" spans="1:3">
      <c r="A19" s="75"/>
      <c r="B19" s="50" t="s">
        <v>79</v>
      </c>
      <c r="C19" s="32">
        <f ca="1">OFFSET(Bewertungen!G13,Bewertungen!$AS$10,0)</f>
        <v>0</v>
      </c>
    </row>
    <row r="20" spans="1:3">
      <c r="A20" s="75"/>
      <c r="B20" s="50" t="s">
        <v>48</v>
      </c>
      <c r="C20" s="32">
        <f ca="1">OFFSET(Bewertungen!G14,Bewertungen!$AS$10,0)</f>
        <v>0</v>
      </c>
    </row>
    <row r="21" spans="1:3" ht="39.6">
      <c r="A21" s="75"/>
      <c r="B21" s="50" t="s">
        <v>49</v>
      </c>
      <c r="C21" s="32">
        <f ca="1">OFFSET(Bewertungen!G15,Bewertungen!$AS$10,0)</f>
        <v>0</v>
      </c>
    </row>
    <row r="22" spans="1:3" ht="26.45">
      <c r="A22" s="75"/>
      <c r="B22" s="50" t="s">
        <v>50</v>
      </c>
      <c r="C22" s="32">
        <f ca="1">OFFSET(Bewertungen!G16,Bewertungen!$AS$10,0)</f>
        <v>0</v>
      </c>
    </row>
    <row r="23" spans="1:3" ht="26.45">
      <c r="A23" s="75"/>
      <c r="B23" s="50" t="s">
        <v>51</v>
      </c>
      <c r="C23" s="32">
        <f ca="1">OFFSET(Bewertungen!G17,Bewertungen!$AS$10,0)</f>
        <v>0</v>
      </c>
    </row>
    <row r="24" spans="1:3" ht="26.45">
      <c r="A24" s="76"/>
      <c r="B24" s="51" t="s">
        <v>52</v>
      </c>
      <c r="C24" s="33">
        <f ca="1">OFFSET(Bewertungen!G18,Bewertungen!$AS$10,0)</f>
        <v>0</v>
      </c>
    </row>
    <row r="25" spans="1:3" ht="26.45">
      <c r="A25" s="74" t="s">
        <v>80</v>
      </c>
      <c r="B25" s="52" t="s">
        <v>54</v>
      </c>
      <c r="C25" s="31">
        <f ca="1">OFFSET(Bewertungen!G19,Bewertungen!$AS$10,0)</f>
        <v>0</v>
      </c>
    </row>
    <row r="26" spans="1:3" ht="26.45">
      <c r="A26" s="75"/>
      <c r="B26" s="50" t="s">
        <v>81</v>
      </c>
      <c r="C26" s="32">
        <f ca="1">OFFSET(Bewertungen!G20,Bewertungen!$AS$10,0)</f>
        <v>0</v>
      </c>
    </row>
    <row r="27" spans="1:3" ht="26.45">
      <c r="A27" s="75"/>
      <c r="B27" s="50" t="s">
        <v>56</v>
      </c>
      <c r="C27" s="32">
        <f ca="1">OFFSET(Bewertungen!G21,Bewertungen!$AS$10,0)</f>
        <v>0</v>
      </c>
    </row>
    <row r="28" spans="1:3" ht="39.6">
      <c r="A28" s="75"/>
      <c r="B28" s="50" t="s">
        <v>57</v>
      </c>
      <c r="C28" s="32">
        <f ca="1">OFFSET(Bewertungen!G22,Bewertungen!$AS$10,0)</f>
        <v>0</v>
      </c>
    </row>
    <row r="29" spans="1:3">
      <c r="A29" s="75"/>
      <c r="B29" s="50" t="s">
        <v>58</v>
      </c>
      <c r="C29" s="32">
        <f ca="1">OFFSET(Bewertungen!G23,Bewertungen!$AS$10,0)</f>
        <v>0</v>
      </c>
    </row>
    <row r="30" spans="1:3" ht="26.45">
      <c r="A30" s="75"/>
      <c r="B30" s="50" t="s">
        <v>59</v>
      </c>
      <c r="C30" s="32">
        <f ca="1">OFFSET(Bewertungen!G24,Bewertungen!$AS$10,0)</f>
        <v>0</v>
      </c>
    </row>
    <row r="31" spans="1:3" ht="26.45">
      <c r="A31" s="76"/>
      <c r="B31" s="51" t="s">
        <v>60</v>
      </c>
      <c r="C31" s="33">
        <f ca="1">OFFSET(Bewertungen!G25,Bewertungen!$AS$10,0)</f>
        <v>0</v>
      </c>
    </row>
    <row r="32" spans="1:3" ht="26.45">
      <c r="A32" s="74" t="s">
        <v>61</v>
      </c>
      <c r="B32" s="49" t="s">
        <v>62</v>
      </c>
      <c r="C32" s="31">
        <f ca="1">OFFSET(Bewertungen!G26,Bewertungen!$AS$10,0)</f>
        <v>0</v>
      </c>
    </row>
    <row r="33" spans="1:3" ht="66">
      <c r="A33" s="75"/>
      <c r="B33" s="50" t="s">
        <v>63</v>
      </c>
      <c r="C33" s="32">
        <f ca="1">OFFSET(Bewertungen!G27,Bewertungen!$AS$10,0)</f>
        <v>0</v>
      </c>
    </row>
    <row r="34" spans="1:3" ht="26.45">
      <c r="A34" s="75"/>
      <c r="B34" s="50" t="s">
        <v>64</v>
      </c>
      <c r="C34" s="32">
        <f ca="1">OFFSET(Bewertungen!G28,Bewertungen!$AS$10,0)</f>
        <v>0</v>
      </c>
    </row>
    <row r="35" spans="1:3">
      <c r="A35" s="75"/>
      <c r="B35" s="50" t="s">
        <v>82</v>
      </c>
      <c r="C35" s="32">
        <f ca="1">OFFSET(Bewertungen!G29,Bewertungen!$AS$10,0)</f>
        <v>0</v>
      </c>
    </row>
    <row r="36" spans="1:3" ht="26.45">
      <c r="A36" s="76"/>
      <c r="B36" s="51" t="s">
        <v>83</v>
      </c>
      <c r="C36" s="33">
        <f ca="1">OFFSET(Bewertungen!G30,Bewertungen!$AS$10,0)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D5FB6-D598-4088-9101-0BF4969B4121}">
  <dimension ref="A1:C36"/>
  <sheetViews>
    <sheetView view="pageLayout" topLeftCell="A28" zoomScale="82" zoomScaleNormal="80" zoomScalePageLayoutView="82" workbookViewId="0">
      <selection activeCell="C36" sqref="C36"/>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OFFSET(Bewertungen!$H$7,Bewertungen!$AS$10,0)</f>
        <v>0</v>
      </c>
    </row>
    <row r="6" spans="1:3">
      <c r="A6" s="28" t="s">
        <v>72</v>
      </c>
      <c r="B6" s="28">
        <f ca="1">OFFSET(Bewertungen!$H$8,Bewertungen!$AS$10,0)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OFFSET(Bewertungen!$H$32,Bewertungen!$AS$10,0)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OFFSET(Bewertungen!H11,Bewertungen!$AS$10,0)</f>
        <v>0</v>
      </c>
    </row>
    <row r="18" spans="1:3" ht="26.45">
      <c r="A18" s="74" t="s">
        <v>77</v>
      </c>
      <c r="B18" s="49" t="s">
        <v>78</v>
      </c>
      <c r="C18" s="31">
        <f ca="1">OFFSET(Bewertungen!H12,Bewertungen!$AS$10,0)</f>
        <v>0</v>
      </c>
    </row>
    <row r="19" spans="1:3">
      <c r="A19" s="75"/>
      <c r="B19" s="50" t="s">
        <v>79</v>
      </c>
      <c r="C19" s="32">
        <f ca="1">OFFSET(Bewertungen!H13,Bewertungen!$AS$10,0)</f>
        <v>0</v>
      </c>
    </row>
    <row r="20" spans="1:3">
      <c r="A20" s="75"/>
      <c r="B20" s="50" t="s">
        <v>48</v>
      </c>
      <c r="C20" s="32">
        <f ca="1">OFFSET(Bewertungen!H14,Bewertungen!$AS$10,0)</f>
        <v>0</v>
      </c>
    </row>
    <row r="21" spans="1:3" ht="39.6">
      <c r="A21" s="75"/>
      <c r="B21" s="50" t="s">
        <v>49</v>
      </c>
      <c r="C21" s="32">
        <f ca="1">OFFSET(Bewertungen!H15,Bewertungen!$AS$10,0)</f>
        <v>0</v>
      </c>
    </row>
    <row r="22" spans="1:3" ht="26.45">
      <c r="A22" s="75"/>
      <c r="B22" s="50" t="s">
        <v>50</v>
      </c>
      <c r="C22" s="32">
        <f ca="1">OFFSET(Bewertungen!H16,Bewertungen!$AS$10,0)</f>
        <v>0</v>
      </c>
    </row>
    <row r="23" spans="1:3" ht="26.45">
      <c r="A23" s="75"/>
      <c r="B23" s="50" t="s">
        <v>51</v>
      </c>
      <c r="C23" s="32">
        <f ca="1">OFFSET(Bewertungen!H17,Bewertungen!$AS$10,0)</f>
        <v>0</v>
      </c>
    </row>
    <row r="24" spans="1:3" ht="26.45">
      <c r="A24" s="76"/>
      <c r="B24" s="51" t="s">
        <v>52</v>
      </c>
      <c r="C24" s="32">
        <f ca="1">OFFSET(Bewertungen!H18,Bewertungen!$AS$10,0)</f>
        <v>0</v>
      </c>
    </row>
    <row r="25" spans="1:3" ht="26.45">
      <c r="A25" s="74" t="s">
        <v>80</v>
      </c>
      <c r="B25" s="52" t="s">
        <v>54</v>
      </c>
      <c r="C25" s="31">
        <f ca="1">OFFSET(Bewertungen!H19,Bewertungen!$AS$10,0)</f>
        <v>0</v>
      </c>
    </row>
    <row r="26" spans="1:3" ht="26.45">
      <c r="A26" s="75"/>
      <c r="B26" s="50" t="s">
        <v>81</v>
      </c>
      <c r="C26" s="32">
        <f ca="1">OFFSET(Bewertungen!H20,Bewertungen!$AS$10,0)</f>
        <v>0</v>
      </c>
    </row>
    <row r="27" spans="1:3" ht="26.45">
      <c r="A27" s="75"/>
      <c r="B27" s="50" t="s">
        <v>56</v>
      </c>
      <c r="C27" s="32">
        <f ca="1">OFFSET(Bewertungen!H21,Bewertungen!$AS$10,0)</f>
        <v>0</v>
      </c>
    </row>
    <row r="28" spans="1:3" ht="39.6">
      <c r="A28" s="75"/>
      <c r="B28" s="50" t="s">
        <v>57</v>
      </c>
      <c r="C28" s="32">
        <f ca="1">OFFSET(Bewertungen!H22,Bewertungen!$AS$10,0)</f>
        <v>0</v>
      </c>
    </row>
    <row r="29" spans="1:3">
      <c r="A29" s="75"/>
      <c r="B29" s="50" t="s">
        <v>58</v>
      </c>
      <c r="C29" s="32">
        <f ca="1">OFFSET(Bewertungen!H23,Bewertungen!$AS$10,0)</f>
        <v>0</v>
      </c>
    </row>
    <row r="30" spans="1:3" ht="26.45">
      <c r="A30" s="75"/>
      <c r="B30" s="50" t="s">
        <v>59</v>
      </c>
      <c r="C30" s="32">
        <f ca="1">OFFSET(Bewertungen!H24,Bewertungen!$AS$10,0)</f>
        <v>0</v>
      </c>
    </row>
    <row r="31" spans="1:3" ht="26.45">
      <c r="A31" s="76"/>
      <c r="B31" s="51" t="s">
        <v>60</v>
      </c>
      <c r="C31" s="33">
        <f ca="1">OFFSET(Bewertungen!H25,Bewertungen!$AS$10,0)</f>
        <v>0</v>
      </c>
    </row>
    <row r="32" spans="1:3" ht="26.45">
      <c r="A32" s="74" t="s">
        <v>61</v>
      </c>
      <c r="B32" s="49" t="s">
        <v>62</v>
      </c>
      <c r="C32" s="32">
        <f ca="1">OFFSET(Bewertungen!H26,Bewertungen!$AS$10,0)</f>
        <v>0</v>
      </c>
    </row>
    <row r="33" spans="1:3" ht="66">
      <c r="A33" s="75"/>
      <c r="B33" s="50" t="s">
        <v>63</v>
      </c>
      <c r="C33" s="32">
        <f ca="1">OFFSET(Bewertungen!H27,Bewertungen!$AS$10,0)</f>
        <v>0</v>
      </c>
    </row>
    <row r="34" spans="1:3" ht="26.45">
      <c r="A34" s="75"/>
      <c r="B34" s="50" t="s">
        <v>64</v>
      </c>
      <c r="C34" s="32">
        <f ca="1">OFFSET(Bewertungen!H28,Bewertungen!$AS$10,0)</f>
        <v>0</v>
      </c>
    </row>
    <row r="35" spans="1:3">
      <c r="A35" s="75"/>
      <c r="B35" s="50" t="s">
        <v>82</v>
      </c>
      <c r="C35" s="32">
        <f ca="1">OFFSET(Bewertungen!H29,Bewertungen!$AS$10,0)</f>
        <v>0</v>
      </c>
    </row>
    <row r="36" spans="1:3" ht="26.45">
      <c r="A36" s="76"/>
      <c r="B36" s="51" t="s">
        <v>83</v>
      </c>
      <c r="C36" s="33">
        <f ca="1">OFFSET(Bewertungen!H30,Bewertungen!$AS$10,0)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0B8D9-3DEC-46B7-87DE-458BEAA53ABB}">
  <dimension ref="A1:C36"/>
  <sheetViews>
    <sheetView view="pageLayout" topLeftCell="A24" zoomScale="82" zoomScaleNormal="80" zoomScalePageLayoutView="82" workbookViewId="0">
      <selection activeCell="B29" sqref="B29"/>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OFFSET(Bewertungen!$I$7,Bewertungen!$AS$10,0)</f>
        <v>0</v>
      </c>
    </row>
    <row r="6" spans="1:3">
      <c r="A6" s="28" t="s">
        <v>72</v>
      </c>
      <c r="B6" s="28">
        <f ca="1">OFFSET(Bewertungen!$I$8,Bewertungen!$AS$10,0)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OFFSET(Bewertungen!$I$32,Bewertungen!$AS$10,0)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OFFSET(Bewertungen!I11,Bewertungen!$AS$10,0)</f>
        <v>0</v>
      </c>
    </row>
    <row r="18" spans="1:3" ht="26.45">
      <c r="A18" s="74" t="s">
        <v>77</v>
      </c>
      <c r="B18" s="49" t="s">
        <v>78</v>
      </c>
      <c r="C18" s="31">
        <f ca="1">OFFSET(Bewertungen!I12,Bewertungen!$AS$10,0)</f>
        <v>0</v>
      </c>
    </row>
    <row r="19" spans="1:3">
      <c r="A19" s="75"/>
      <c r="B19" s="50" t="s">
        <v>79</v>
      </c>
      <c r="C19" s="32">
        <f ca="1">OFFSET(Bewertungen!I13,Bewertungen!$AS$10,0)</f>
        <v>0</v>
      </c>
    </row>
    <row r="20" spans="1:3">
      <c r="A20" s="75"/>
      <c r="B20" s="50" t="s">
        <v>48</v>
      </c>
      <c r="C20" s="32">
        <f ca="1">OFFSET(Bewertungen!I14,Bewertungen!$AS$10,0)</f>
        <v>0</v>
      </c>
    </row>
    <row r="21" spans="1:3" ht="39.6">
      <c r="A21" s="75"/>
      <c r="B21" s="50" t="s">
        <v>49</v>
      </c>
      <c r="C21" s="32">
        <f ca="1">OFFSET(Bewertungen!I15,Bewertungen!$AS$10,0)</f>
        <v>0</v>
      </c>
    </row>
    <row r="22" spans="1:3" ht="26.45">
      <c r="A22" s="75"/>
      <c r="B22" s="50" t="s">
        <v>50</v>
      </c>
      <c r="C22" s="32">
        <f ca="1">OFFSET(Bewertungen!I16,Bewertungen!$AS$10,0)</f>
        <v>0</v>
      </c>
    </row>
    <row r="23" spans="1:3" ht="26.45">
      <c r="A23" s="75"/>
      <c r="B23" s="50" t="s">
        <v>51</v>
      </c>
      <c r="C23" s="32">
        <f ca="1">OFFSET(Bewertungen!I17,Bewertungen!$AS$10,0)</f>
        <v>0</v>
      </c>
    </row>
    <row r="24" spans="1:3" ht="26.45">
      <c r="A24" s="76"/>
      <c r="B24" s="51" t="s">
        <v>52</v>
      </c>
      <c r="C24" s="33">
        <f ca="1">OFFSET(Bewertungen!I18,Bewertungen!$AS$10,0)</f>
        <v>0</v>
      </c>
    </row>
    <row r="25" spans="1:3" ht="26.45">
      <c r="A25" s="74" t="s">
        <v>80</v>
      </c>
      <c r="B25" s="52" t="s">
        <v>54</v>
      </c>
      <c r="C25" s="31">
        <f ca="1">OFFSET(Bewertungen!I19,Bewertungen!$AS$10,0)</f>
        <v>0</v>
      </c>
    </row>
    <row r="26" spans="1:3" ht="26.45">
      <c r="A26" s="75"/>
      <c r="B26" s="50" t="s">
        <v>81</v>
      </c>
      <c r="C26" s="32">
        <f ca="1">OFFSET(Bewertungen!I20,Bewertungen!$AS$10,0)</f>
        <v>0</v>
      </c>
    </row>
    <row r="27" spans="1:3" ht="26.45">
      <c r="A27" s="75"/>
      <c r="B27" s="50" t="s">
        <v>56</v>
      </c>
      <c r="C27" s="32">
        <f ca="1">OFFSET(Bewertungen!I21,Bewertungen!$AS$10,0)</f>
        <v>0</v>
      </c>
    </row>
    <row r="28" spans="1:3" ht="39.6">
      <c r="A28" s="75"/>
      <c r="B28" s="50" t="s">
        <v>57</v>
      </c>
      <c r="C28" s="32">
        <f ca="1">OFFSET(Bewertungen!I22,Bewertungen!$AS$10,0)</f>
        <v>0</v>
      </c>
    </row>
    <row r="29" spans="1:3">
      <c r="A29" s="75"/>
      <c r="B29" s="50" t="s">
        <v>58</v>
      </c>
      <c r="C29" s="32">
        <f ca="1">OFFSET(Bewertungen!I23,Bewertungen!$AS$10,0)</f>
        <v>0</v>
      </c>
    </row>
    <row r="30" spans="1:3" ht="26.45">
      <c r="A30" s="75"/>
      <c r="B30" s="50" t="s">
        <v>59</v>
      </c>
      <c r="C30" s="32">
        <f ca="1">OFFSET(Bewertungen!I24,Bewertungen!$AS$10,0)</f>
        <v>0</v>
      </c>
    </row>
    <row r="31" spans="1:3" ht="26.45">
      <c r="A31" s="76"/>
      <c r="B31" s="51" t="s">
        <v>60</v>
      </c>
      <c r="C31" s="33">
        <f ca="1">OFFSET(Bewertungen!I25,Bewertungen!$AS$10,0)</f>
        <v>0</v>
      </c>
    </row>
    <row r="32" spans="1:3" ht="26.45">
      <c r="A32" s="74" t="s">
        <v>61</v>
      </c>
      <c r="B32" s="49" t="s">
        <v>62</v>
      </c>
      <c r="C32" s="32">
        <f ca="1">OFFSET(Bewertungen!I26,Bewertungen!$AS$10,0)</f>
        <v>0</v>
      </c>
    </row>
    <row r="33" spans="1:3" ht="66">
      <c r="A33" s="75"/>
      <c r="B33" s="50" t="s">
        <v>63</v>
      </c>
      <c r="C33" s="32">
        <f ca="1">OFFSET(Bewertungen!I27,Bewertungen!$AS$10,0)</f>
        <v>0</v>
      </c>
    </row>
    <row r="34" spans="1:3" ht="26.45">
      <c r="A34" s="75"/>
      <c r="B34" s="50" t="s">
        <v>64</v>
      </c>
      <c r="C34" s="32">
        <f ca="1">OFFSET(Bewertungen!I28,Bewertungen!$AS$10,0)</f>
        <v>0</v>
      </c>
    </row>
    <row r="35" spans="1:3">
      <c r="A35" s="75"/>
      <c r="B35" s="50" t="s">
        <v>82</v>
      </c>
      <c r="C35" s="32">
        <f ca="1">OFFSET(Bewertungen!I29,Bewertungen!$AS$10,0)</f>
        <v>0</v>
      </c>
    </row>
    <row r="36" spans="1:3" ht="26.45">
      <c r="A36" s="76"/>
      <c r="B36" s="51" t="s">
        <v>83</v>
      </c>
      <c r="C36" s="33">
        <f ca="1">OFFSET(Bewertungen!I30,Bewertungen!$AS$10,0)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ADA34-5A51-4789-A4D9-7961047EC728}">
  <dimension ref="A1:C36"/>
  <sheetViews>
    <sheetView view="pageLayout" topLeftCell="A10" zoomScale="82" zoomScaleNormal="80" zoomScalePageLayoutView="82" workbookViewId="0">
      <selection activeCell="C18" sqref="C18"/>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OFFSET(Bewertungen!$J$7,Bewertungen!$AS$10,0)</f>
        <v>0</v>
      </c>
    </row>
    <row r="6" spans="1:3">
      <c r="A6" s="28" t="s">
        <v>72</v>
      </c>
      <c r="B6" s="28">
        <f ca="1">OFFSET(Bewertungen!$J$8,Bewertungen!$AS$10,0)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OFFSET(Bewertungen!$J$32,Bewertungen!$AS$10,0)</f>
        <v>0</v>
      </c>
    </row>
    <row r="15" spans="1:3">
      <c r="A15" s="42" t="s">
        <v>41</v>
      </c>
      <c r="B15" s="45" t="s">
        <v>42</v>
      </c>
      <c r="C15" s="43" t="s">
        <v>76</v>
      </c>
    </row>
    <row r="16" spans="1:3" ht="13.9" thickBot="1">
      <c r="A16" s="46"/>
      <c r="B16" s="47"/>
      <c r="C16" s="44"/>
    </row>
    <row r="17" spans="1:3" ht="26.45">
      <c r="A17" s="34" t="s">
        <v>43</v>
      </c>
      <c r="B17" s="39" t="s">
        <v>44</v>
      </c>
      <c r="C17" s="32">
        <f ca="1">OFFSET(Bewertungen!J11,Bewertungen!$AS$10,0)</f>
        <v>0</v>
      </c>
    </row>
    <row r="18" spans="1:3" ht="26.45">
      <c r="A18" s="74" t="s">
        <v>77</v>
      </c>
      <c r="B18" s="49" t="s">
        <v>78</v>
      </c>
      <c r="C18" s="31">
        <f ca="1">OFFSET(Bewertungen!J12,Bewertungen!$AS$10,0)</f>
        <v>0</v>
      </c>
    </row>
    <row r="19" spans="1:3">
      <c r="A19" s="75"/>
      <c r="B19" s="50" t="s">
        <v>79</v>
      </c>
      <c r="C19" s="32">
        <f ca="1">OFFSET(Bewertungen!J13,Bewertungen!$AS$10,0)</f>
        <v>0</v>
      </c>
    </row>
    <row r="20" spans="1:3">
      <c r="A20" s="75"/>
      <c r="B20" s="50" t="s">
        <v>48</v>
      </c>
      <c r="C20" s="32">
        <f ca="1">OFFSET(Bewertungen!J14,Bewertungen!$AS$10,0)</f>
        <v>0</v>
      </c>
    </row>
    <row r="21" spans="1:3" ht="39.6">
      <c r="A21" s="75"/>
      <c r="B21" s="50" t="s">
        <v>49</v>
      </c>
      <c r="C21" s="32">
        <f ca="1">OFFSET(Bewertungen!J15,Bewertungen!$AS$10,0)</f>
        <v>0</v>
      </c>
    </row>
    <row r="22" spans="1:3" ht="26.45">
      <c r="A22" s="75"/>
      <c r="B22" s="50" t="s">
        <v>50</v>
      </c>
      <c r="C22" s="32">
        <f ca="1">OFFSET(Bewertungen!J16,Bewertungen!$AS$10,0)</f>
        <v>0</v>
      </c>
    </row>
    <row r="23" spans="1:3" ht="26.45">
      <c r="A23" s="75"/>
      <c r="B23" s="50" t="s">
        <v>51</v>
      </c>
      <c r="C23" s="32">
        <f ca="1">OFFSET(Bewertungen!J17,Bewertungen!$AS$10,0)</f>
        <v>0</v>
      </c>
    </row>
    <row r="24" spans="1:3" ht="26.45">
      <c r="A24" s="76"/>
      <c r="B24" s="51" t="s">
        <v>52</v>
      </c>
      <c r="C24" s="32">
        <f ca="1">OFFSET(Bewertungen!J18,Bewertungen!$AS$10,0)</f>
        <v>0</v>
      </c>
    </row>
    <row r="25" spans="1:3" ht="26.45">
      <c r="A25" s="74" t="s">
        <v>80</v>
      </c>
      <c r="B25" s="52" t="s">
        <v>54</v>
      </c>
      <c r="C25" s="31">
        <f ca="1">OFFSET(Bewertungen!J19,Bewertungen!$AS$10,0)</f>
        <v>0</v>
      </c>
    </row>
    <row r="26" spans="1:3" ht="26.45">
      <c r="A26" s="75"/>
      <c r="B26" s="50" t="s">
        <v>81</v>
      </c>
      <c r="C26" s="32">
        <f ca="1">OFFSET(Bewertungen!J20,Bewertungen!$AS$10,0)</f>
        <v>0</v>
      </c>
    </row>
    <row r="27" spans="1:3" ht="26.45">
      <c r="A27" s="75"/>
      <c r="B27" s="50" t="s">
        <v>56</v>
      </c>
      <c r="C27" s="32">
        <f ca="1">OFFSET(Bewertungen!J21,Bewertungen!$AS$10,0)</f>
        <v>0</v>
      </c>
    </row>
    <row r="28" spans="1:3" ht="39.6">
      <c r="A28" s="75"/>
      <c r="B28" s="50" t="s">
        <v>57</v>
      </c>
      <c r="C28" s="32">
        <f ca="1">OFFSET(Bewertungen!J22,Bewertungen!$AS$10,0)</f>
        <v>0</v>
      </c>
    </row>
    <row r="29" spans="1:3">
      <c r="A29" s="75"/>
      <c r="B29" s="50" t="s">
        <v>58</v>
      </c>
      <c r="C29" s="32">
        <f ca="1">OFFSET(Bewertungen!J23,Bewertungen!$AS$10,0)</f>
        <v>0</v>
      </c>
    </row>
    <row r="30" spans="1:3" ht="26.45">
      <c r="A30" s="75"/>
      <c r="B30" s="50" t="s">
        <v>59</v>
      </c>
      <c r="C30" s="32">
        <f ca="1">OFFSET(Bewertungen!J24,Bewertungen!$AS$10,0)</f>
        <v>0</v>
      </c>
    </row>
    <row r="31" spans="1:3" ht="26.45">
      <c r="A31" s="76"/>
      <c r="B31" s="51" t="s">
        <v>60</v>
      </c>
      <c r="C31" s="33">
        <f ca="1">OFFSET(Bewertungen!J25,Bewertungen!$AS$10,0)</f>
        <v>0</v>
      </c>
    </row>
    <row r="32" spans="1:3" ht="26.45">
      <c r="A32" s="74" t="s">
        <v>61</v>
      </c>
      <c r="B32" s="49" t="s">
        <v>62</v>
      </c>
      <c r="C32" s="32">
        <f ca="1">OFFSET(Bewertungen!J26,Bewertungen!$AS$10,0)</f>
        <v>0</v>
      </c>
    </row>
    <row r="33" spans="1:3" ht="66">
      <c r="A33" s="75"/>
      <c r="B33" s="50" t="s">
        <v>63</v>
      </c>
      <c r="C33" s="32">
        <f ca="1">OFFSET(Bewertungen!J27,Bewertungen!$AS$10,0)</f>
        <v>0</v>
      </c>
    </row>
    <row r="34" spans="1:3" ht="26.45">
      <c r="A34" s="75"/>
      <c r="B34" s="50" t="s">
        <v>64</v>
      </c>
      <c r="C34" s="32">
        <f ca="1">OFFSET(Bewertungen!J28,Bewertungen!$AS$10,0)</f>
        <v>0</v>
      </c>
    </row>
    <row r="35" spans="1:3">
      <c r="A35" s="75"/>
      <c r="B35" s="50" t="s">
        <v>82</v>
      </c>
      <c r="C35" s="32">
        <f ca="1">OFFSET(Bewertungen!J29,Bewertungen!$AS$10,0)</f>
        <v>0</v>
      </c>
    </row>
    <row r="36" spans="1:3" ht="26.45">
      <c r="A36" s="76"/>
      <c r="B36" s="51" t="s">
        <v>83</v>
      </c>
      <c r="C36" s="33">
        <f ca="1">OFFSET(Bewertungen!J30,Bewertungen!$AS$10,0)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08E3E-B3EA-42F2-8E9F-6FD3BFF442D7}">
  <dimension ref="A1:C36"/>
  <sheetViews>
    <sheetView view="pageLayout" topLeftCell="A27" zoomScale="82" zoomScaleNormal="80" zoomScalePageLayoutView="82" workbookViewId="0">
      <selection activeCell="C31" sqref="C31"/>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OFFSET(Bewertungen!$K$7,Bewertungen!$AS$10,0)</f>
        <v>0</v>
      </c>
    </row>
    <row r="6" spans="1:3">
      <c r="A6" s="28" t="s">
        <v>72</v>
      </c>
      <c r="B6" s="28">
        <f ca="1">OFFSET(Bewertungen!$K$8,Bewertungen!$AS$10,0)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OFFSET(Bewertungen!$K$32,Bewertungen!$AS$10,0)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OFFSET(Bewertungen!K11,Bewertungen!$AS$10,0)</f>
        <v>0</v>
      </c>
    </row>
    <row r="18" spans="1:3" ht="26.45">
      <c r="A18" s="74" t="s">
        <v>77</v>
      </c>
      <c r="B18" s="49" t="s">
        <v>78</v>
      </c>
      <c r="C18" s="31">
        <f ca="1">OFFSET(Bewertungen!K12,Bewertungen!$AS$10,0)</f>
        <v>0</v>
      </c>
    </row>
    <row r="19" spans="1:3">
      <c r="A19" s="75"/>
      <c r="B19" s="50" t="s">
        <v>79</v>
      </c>
      <c r="C19" s="32">
        <f ca="1">OFFSET(Bewertungen!K13,Bewertungen!$AS$10,0)</f>
        <v>0</v>
      </c>
    </row>
    <row r="20" spans="1:3">
      <c r="A20" s="75"/>
      <c r="B20" s="50" t="s">
        <v>48</v>
      </c>
      <c r="C20" s="32">
        <f ca="1">OFFSET(Bewertungen!K14,Bewertungen!$AS$10,0)</f>
        <v>0</v>
      </c>
    </row>
    <row r="21" spans="1:3" ht="39.6">
      <c r="A21" s="75"/>
      <c r="B21" s="50" t="s">
        <v>49</v>
      </c>
      <c r="C21" s="32">
        <f ca="1">OFFSET(Bewertungen!K15,Bewertungen!$AS$10,0)</f>
        <v>0</v>
      </c>
    </row>
    <row r="22" spans="1:3" ht="26.45">
      <c r="A22" s="75"/>
      <c r="B22" s="50" t="s">
        <v>50</v>
      </c>
      <c r="C22" s="32">
        <f ca="1">OFFSET(Bewertungen!K16,Bewertungen!$AS$10,0)</f>
        <v>0</v>
      </c>
    </row>
    <row r="23" spans="1:3" ht="26.45">
      <c r="A23" s="75"/>
      <c r="B23" s="50" t="s">
        <v>51</v>
      </c>
      <c r="C23" s="32">
        <f ca="1">OFFSET(Bewertungen!K17,Bewertungen!$AS$10,0)</f>
        <v>0</v>
      </c>
    </row>
    <row r="24" spans="1:3" ht="26.45">
      <c r="A24" s="76"/>
      <c r="B24" s="51" t="s">
        <v>52</v>
      </c>
      <c r="C24" s="32">
        <f ca="1">OFFSET(Bewertungen!K18,Bewertungen!$AS$10,0)</f>
        <v>0</v>
      </c>
    </row>
    <row r="25" spans="1:3" ht="26.45">
      <c r="A25" s="74" t="s">
        <v>80</v>
      </c>
      <c r="B25" s="52" t="s">
        <v>54</v>
      </c>
      <c r="C25" s="31">
        <f ca="1">OFFSET(Bewertungen!K19,Bewertungen!$AS$10,0)</f>
        <v>0</v>
      </c>
    </row>
    <row r="26" spans="1:3" ht="26.45">
      <c r="A26" s="75"/>
      <c r="B26" s="50" t="s">
        <v>81</v>
      </c>
      <c r="C26" s="32">
        <f ca="1">OFFSET(Bewertungen!K20,Bewertungen!$AS$10,0)</f>
        <v>0</v>
      </c>
    </row>
    <row r="27" spans="1:3" ht="26.45">
      <c r="A27" s="75"/>
      <c r="B27" s="50" t="s">
        <v>56</v>
      </c>
      <c r="C27" s="32">
        <f ca="1">OFFSET(Bewertungen!K21,Bewertungen!$AS$10,0)</f>
        <v>0</v>
      </c>
    </row>
    <row r="28" spans="1:3" ht="39.6">
      <c r="A28" s="75"/>
      <c r="B28" s="50" t="s">
        <v>57</v>
      </c>
      <c r="C28" s="32">
        <f ca="1">OFFSET(Bewertungen!K22,Bewertungen!$AS$10,0)</f>
        <v>0</v>
      </c>
    </row>
    <row r="29" spans="1:3">
      <c r="A29" s="75"/>
      <c r="B29" s="50" t="s">
        <v>58</v>
      </c>
      <c r="C29" s="32">
        <f ca="1">OFFSET(Bewertungen!K23,Bewertungen!$AS$10,0)</f>
        <v>0</v>
      </c>
    </row>
    <row r="30" spans="1:3" ht="26.45">
      <c r="A30" s="75"/>
      <c r="B30" s="50" t="s">
        <v>59</v>
      </c>
      <c r="C30" s="32">
        <f ca="1">OFFSET(Bewertungen!K24,Bewertungen!$AS$10,0)</f>
        <v>0</v>
      </c>
    </row>
    <row r="31" spans="1:3" ht="26.45">
      <c r="A31" s="76"/>
      <c r="B31" s="51" t="s">
        <v>60</v>
      </c>
      <c r="C31" s="33">
        <f ca="1">OFFSET(Bewertungen!K25,Bewertungen!$AS$10,0)</f>
        <v>0</v>
      </c>
    </row>
    <row r="32" spans="1:3" ht="26.45">
      <c r="A32" s="74" t="s">
        <v>61</v>
      </c>
      <c r="B32" s="49" t="s">
        <v>62</v>
      </c>
      <c r="C32" s="32">
        <f ca="1">OFFSET(Bewertungen!K26,Bewertungen!$AS$10,0)</f>
        <v>0</v>
      </c>
    </row>
    <row r="33" spans="1:3" ht="66">
      <c r="A33" s="75"/>
      <c r="B33" s="50" t="s">
        <v>63</v>
      </c>
      <c r="C33" s="32">
        <f ca="1">OFFSET(Bewertungen!K27,Bewertungen!$AS$10,0)</f>
        <v>0</v>
      </c>
    </row>
    <row r="34" spans="1:3" ht="26.45">
      <c r="A34" s="75"/>
      <c r="B34" s="50" t="s">
        <v>64</v>
      </c>
      <c r="C34" s="32">
        <f ca="1">OFFSET(Bewertungen!K28,Bewertungen!$AS$10,0)</f>
        <v>0</v>
      </c>
    </row>
    <row r="35" spans="1:3">
      <c r="A35" s="75"/>
      <c r="B35" s="50" t="s">
        <v>82</v>
      </c>
      <c r="C35" s="32">
        <f ca="1">OFFSET(Bewertungen!K29,Bewertungen!$AS$10,0)</f>
        <v>0</v>
      </c>
    </row>
    <row r="36" spans="1:3" ht="26.45">
      <c r="A36" s="76"/>
      <c r="B36" s="51" t="s">
        <v>83</v>
      </c>
      <c r="C36" s="33">
        <f ca="1">OFFSET(Bewertungen!K30,Bewertungen!$AS$10,0)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922F9-E9B8-484A-8AF9-6BCF8EB195B3}">
  <dimension ref="A1:C36"/>
  <sheetViews>
    <sheetView view="pageLayout" topLeftCell="A4" zoomScale="82" zoomScaleNormal="80" zoomScalePageLayoutView="82" workbookViewId="0">
      <selection activeCell="C17" sqref="C17"/>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OFFSET(Bewertungen!$L$7,Bewertungen!$AS$10,0)</f>
        <v>0</v>
      </c>
    </row>
    <row r="6" spans="1:3">
      <c r="A6" s="28" t="s">
        <v>72</v>
      </c>
      <c r="B6" s="28">
        <f ca="1">OFFSET(Bewertungen!$L$8,Bewertungen!$AS$10,0)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OFFSET(Bewertungen!$L$32,Bewertungen!$AS$10,0)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OFFSET(Bewertungen!L11,Bewertungen!$AS$10,0)</f>
        <v>0</v>
      </c>
    </row>
    <row r="18" spans="1:3" ht="26.45">
      <c r="A18" s="74" t="s">
        <v>77</v>
      </c>
      <c r="B18" s="49" t="s">
        <v>78</v>
      </c>
      <c r="C18" s="31">
        <f ca="1">OFFSET(Bewertungen!L12,Bewertungen!$AS$10,0)</f>
        <v>0</v>
      </c>
    </row>
    <row r="19" spans="1:3">
      <c r="A19" s="75"/>
      <c r="B19" s="50" t="s">
        <v>79</v>
      </c>
      <c r="C19" s="32">
        <f ca="1">OFFSET(Bewertungen!L13,Bewertungen!$AS$10,0)</f>
        <v>0</v>
      </c>
    </row>
    <row r="20" spans="1:3">
      <c r="A20" s="75"/>
      <c r="B20" s="50" t="s">
        <v>48</v>
      </c>
      <c r="C20" s="32">
        <f ca="1">OFFSET(Bewertungen!L14,Bewertungen!$AS$10,0)</f>
        <v>0</v>
      </c>
    </row>
    <row r="21" spans="1:3" ht="39.6">
      <c r="A21" s="75"/>
      <c r="B21" s="50" t="s">
        <v>49</v>
      </c>
      <c r="C21" s="32">
        <f ca="1">OFFSET(Bewertungen!L15,Bewertungen!$AS$10,0)</f>
        <v>0</v>
      </c>
    </row>
    <row r="22" spans="1:3" ht="26.45">
      <c r="A22" s="75"/>
      <c r="B22" s="50" t="s">
        <v>50</v>
      </c>
      <c r="C22" s="32">
        <f ca="1">OFFSET(Bewertungen!L16,Bewertungen!$AS$10,0)</f>
        <v>0</v>
      </c>
    </row>
    <row r="23" spans="1:3" ht="26.45">
      <c r="A23" s="75"/>
      <c r="B23" s="50" t="s">
        <v>51</v>
      </c>
      <c r="C23" s="32">
        <f ca="1">OFFSET(Bewertungen!L17,Bewertungen!$AS$10,0)</f>
        <v>0</v>
      </c>
    </row>
    <row r="24" spans="1:3" ht="26.45">
      <c r="A24" s="76"/>
      <c r="B24" s="51" t="s">
        <v>52</v>
      </c>
      <c r="C24" s="33">
        <f ca="1">OFFSET(Bewertungen!L18,Bewertungen!$AS$10,0)</f>
        <v>0</v>
      </c>
    </row>
    <row r="25" spans="1:3" ht="26.45">
      <c r="A25" s="74" t="s">
        <v>80</v>
      </c>
      <c r="B25" s="52" t="s">
        <v>54</v>
      </c>
      <c r="C25" s="31">
        <f ca="1">OFFSET(Bewertungen!L19,Bewertungen!$AS$10,0)</f>
        <v>0</v>
      </c>
    </row>
    <row r="26" spans="1:3" ht="26.45">
      <c r="A26" s="75"/>
      <c r="B26" s="50" t="s">
        <v>81</v>
      </c>
      <c r="C26" s="32">
        <f ca="1">OFFSET(Bewertungen!L20,Bewertungen!$AS$10,0)</f>
        <v>0</v>
      </c>
    </row>
    <row r="27" spans="1:3" ht="26.45">
      <c r="A27" s="75"/>
      <c r="B27" s="50" t="s">
        <v>56</v>
      </c>
      <c r="C27" s="32">
        <f ca="1">OFFSET(Bewertungen!L21,Bewertungen!$AS$10,0)</f>
        <v>0</v>
      </c>
    </row>
    <row r="28" spans="1:3" ht="39.6">
      <c r="A28" s="75"/>
      <c r="B28" s="50" t="s">
        <v>57</v>
      </c>
      <c r="C28" s="32">
        <f ca="1">OFFSET(Bewertungen!L22,Bewertungen!$AS$10,0)</f>
        <v>0</v>
      </c>
    </row>
    <row r="29" spans="1:3">
      <c r="A29" s="75"/>
      <c r="B29" s="50" t="s">
        <v>58</v>
      </c>
      <c r="C29" s="32">
        <f ca="1">OFFSET(Bewertungen!L23,Bewertungen!$AS$10,0)</f>
        <v>0</v>
      </c>
    </row>
    <row r="30" spans="1:3" ht="26.45">
      <c r="A30" s="75"/>
      <c r="B30" s="50" t="s">
        <v>59</v>
      </c>
      <c r="C30" s="32">
        <f ca="1">OFFSET(Bewertungen!L24,Bewertungen!$AS$10,0)</f>
        <v>0</v>
      </c>
    </row>
    <row r="31" spans="1:3" ht="26.45">
      <c r="A31" s="76"/>
      <c r="B31" s="51" t="s">
        <v>60</v>
      </c>
      <c r="C31" s="33">
        <f ca="1">OFFSET(Bewertungen!L25,Bewertungen!$AS$10,0)</f>
        <v>0</v>
      </c>
    </row>
    <row r="32" spans="1:3" ht="26.45">
      <c r="A32" s="74" t="s">
        <v>61</v>
      </c>
      <c r="B32" s="49" t="s">
        <v>62</v>
      </c>
      <c r="C32" s="32">
        <f ca="1">OFFSET(Bewertungen!L26,Bewertungen!$AS$10,0)</f>
        <v>0</v>
      </c>
    </row>
    <row r="33" spans="1:3" ht="66">
      <c r="A33" s="75"/>
      <c r="B33" s="50" t="s">
        <v>63</v>
      </c>
      <c r="C33" s="32">
        <f ca="1">OFFSET(Bewertungen!L27,Bewertungen!$AS$10,0)</f>
        <v>0</v>
      </c>
    </row>
    <row r="34" spans="1:3" ht="26.45">
      <c r="A34" s="75"/>
      <c r="B34" s="50" t="s">
        <v>64</v>
      </c>
      <c r="C34" s="32">
        <f ca="1">OFFSET(Bewertungen!L28,Bewertungen!$AS$10,0)</f>
        <v>0</v>
      </c>
    </row>
    <row r="35" spans="1:3">
      <c r="A35" s="75"/>
      <c r="B35" s="50" t="s">
        <v>82</v>
      </c>
      <c r="C35" s="32">
        <f ca="1">OFFSET(Bewertungen!L29,Bewertungen!$AS$10,0)</f>
        <v>0</v>
      </c>
    </row>
    <row r="36" spans="1:3" ht="26.45">
      <c r="A36" s="76"/>
      <c r="B36" s="51" t="s">
        <v>83</v>
      </c>
      <c r="C36" s="33">
        <f ca="1">OFFSET(Bewertungen!L30,Bewertungen!$AS$10,0)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D2D1C-46BA-4198-A547-3EFF0210104A}">
  <dimension ref="A1:C36"/>
  <sheetViews>
    <sheetView view="pageLayout" topLeftCell="A26" zoomScale="82" zoomScaleNormal="80" zoomScalePageLayoutView="82" workbookViewId="0">
      <selection activeCell="C36" sqref="C36"/>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OFFSET(Bewertungen!$M$7,Bewertungen!$AS$10,0)</f>
        <v>0</v>
      </c>
    </row>
    <row r="6" spans="1:3">
      <c r="A6" s="28" t="s">
        <v>72</v>
      </c>
      <c r="B6" s="28">
        <f ca="1">OFFSET(Bewertungen!$M$8,Bewertungen!$AS$10,0)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OFFSET(Bewertungen!$M$32,Bewertungen!$AS$10,0)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OFFSET(Bewertungen!M11,Bewertungen!$AS$10,0)</f>
        <v>0</v>
      </c>
    </row>
    <row r="18" spans="1:3" ht="26.45">
      <c r="A18" s="74" t="s">
        <v>77</v>
      </c>
      <c r="B18" s="49" t="s">
        <v>78</v>
      </c>
      <c r="C18" s="31">
        <f ca="1">OFFSET(Bewertungen!M12,Bewertungen!$AS$10,0)</f>
        <v>0</v>
      </c>
    </row>
    <row r="19" spans="1:3">
      <c r="A19" s="75"/>
      <c r="B19" s="50" t="s">
        <v>79</v>
      </c>
      <c r="C19" s="32">
        <f ca="1">OFFSET(Bewertungen!M13,Bewertungen!$AS$10,0)</f>
        <v>0</v>
      </c>
    </row>
    <row r="20" spans="1:3">
      <c r="A20" s="75"/>
      <c r="B20" s="50" t="s">
        <v>48</v>
      </c>
      <c r="C20" s="32">
        <f ca="1">OFFSET(Bewertungen!M14,Bewertungen!$AS$10,0)</f>
        <v>0</v>
      </c>
    </row>
    <row r="21" spans="1:3" ht="39.6">
      <c r="A21" s="75"/>
      <c r="B21" s="50" t="s">
        <v>49</v>
      </c>
      <c r="C21" s="32">
        <f ca="1">OFFSET(Bewertungen!M15,Bewertungen!$AS$10,0)</f>
        <v>0</v>
      </c>
    </row>
    <row r="22" spans="1:3" ht="26.45">
      <c r="A22" s="75"/>
      <c r="B22" s="50" t="s">
        <v>50</v>
      </c>
      <c r="C22" s="32">
        <f ca="1">OFFSET(Bewertungen!M16,Bewertungen!$AS$10,0)</f>
        <v>0</v>
      </c>
    </row>
    <row r="23" spans="1:3" ht="26.45">
      <c r="A23" s="75"/>
      <c r="B23" s="50" t="s">
        <v>51</v>
      </c>
      <c r="C23" s="32">
        <f ca="1">OFFSET(Bewertungen!M17,Bewertungen!$AS$10,0)</f>
        <v>0</v>
      </c>
    </row>
    <row r="24" spans="1:3" ht="26.45">
      <c r="A24" s="76"/>
      <c r="B24" s="51" t="s">
        <v>52</v>
      </c>
      <c r="C24" s="33">
        <f ca="1">OFFSET(Bewertungen!M18,Bewertungen!$AS$10,0)</f>
        <v>0</v>
      </c>
    </row>
    <row r="25" spans="1:3" ht="26.45">
      <c r="A25" s="74" t="s">
        <v>80</v>
      </c>
      <c r="B25" s="52" t="s">
        <v>54</v>
      </c>
      <c r="C25" s="31">
        <f ca="1">OFFSET(Bewertungen!M19,Bewertungen!$AS$10,0)</f>
        <v>0</v>
      </c>
    </row>
    <row r="26" spans="1:3" ht="26.45">
      <c r="A26" s="75"/>
      <c r="B26" s="50" t="s">
        <v>81</v>
      </c>
      <c r="C26" s="32">
        <f ca="1">OFFSET(Bewertungen!M20,Bewertungen!$AS$10,0)</f>
        <v>0</v>
      </c>
    </row>
    <row r="27" spans="1:3" ht="26.45">
      <c r="A27" s="75"/>
      <c r="B27" s="50" t="s">
        <v>56</v>
      </c>
      <c r="C27" s="32">
        <f ca="1">OFFSET(Bewertungen!M21,Bewertungen!$AS$10,0)</f>
        <v>0</v>
      </c>
    </row>
    <row r="28" spans="1:3" ht="39.6">
      <c r="A28" s="75"/>
      <c r="B28" s="50" t="s">
        <v>57</v>
      </c>
      <c r="C28" s="32">
        <f ca="1">OFFSET(Bewertungen!M22,Bewertungen!$AS$10,0)</f>
        <v>0</v>
      </c>
    </row>
    <row r="29" spans="1:3">
      <c r="A29" s="75"/>
      <c r="B29" s="50" t="s">
        <v>58</v>
      </c>
      <c r="C29" s="32">
        <f ca="1">OFFSET(Bewertungen!M23,Bewertungen!$AS$10,0)</f>
        <v>0</v>
      </c>
    </row>
    <row r="30" spans="1:3" ht="26.45">
      <c r="A30" s="75"/>
      <c r="B30" s="50" t="s">
        <v>59</v>
      </c>
      <c r="C30" s="32">
        <f ca="1">OFFSET(Bewertungen!M24,Bewertungen!$AS$10,0)</f>
        <v>0</v>
      </c>
    </row>
    <row r="31" spans="1:3" ht="26.45">
      <c r="A31" s="76"/>
      <c r="B31" s="51" t="s">
        <v>60</v>
      </c>
      <c r="C31" s="33">
        <f ca="1">OFFSET(Bewertungen!M25,Bewertungen!$AS$10,0)</f>
        <v>0</v>
      </c>
    </row>
    <row r="32" spans="1:3" ht="26.45">
      <c r="A32" s="74" t="s">
        <v>61</v>
      </c>
      <c r="B32" s="49" t="s">
        <v>62</v>
      </c>
      <c r="C32" s="31">
        <f ca="1">OFFSET(Bewertungen!M26,Bewertungen!$AS$10,0)</f>
        <v>0</v>
      </c>
    </row>
    <row r="33" spans="1:3" ht="66">
      <c r="A33" s="75"/>
      <c r="B33" s="50" t="s">
        <v>63</v>
      </c>
      <c r="C33" s="32">
        <f ca="1">OFFSET(Bewertungen!M27,Bewertungen!$AS$10,0)</f>
        <v>0</v>
      </c>
    </row>
    <row r="34" spans="1:3" ht="26.45">
      <c r="A34" s="75"/>
      <c r="B34" s="50" t="s">
        <v>64</v>
      </c>
      <c r="C34" s="32">
        <f ca="1">OFFSET(Bewertungen!M28,Bewertungen!$AS$10,0)</f>
        <v>0</v>
      </c>
    </row>
    <row r="35" spans="1:3">
      <c r="A35" s="75"/>
      <c r="B35" s="50" t="s">
        <v>82</v>
      </c>
      <c r="C35" s="32">
        <f ca="1">OFFSET(Bewertungen!M29,Bewertungen!$AS$10,0)</f>
        <v>0</v>
      </c>
    </row>
    <row r="36" spans="1:3" ht="26.45">
      <c r="A36" s="76"/>
      <c r="B36" s="51" t="s">
        <v>83</v>
      </c>
      <c r="C36" s="33">
        <f ca="1">OFFSET(Bewertungen!M30,Bewertungen!$AS$10,0)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7434F-751E-4DB1-AE35-6AB6650A0554}">
  <dimension ref="A1:C36"/>
  <sheetViews>
    <sheetView view="pageLayout" topLeftCell="A8" zoomScale="82" zoomScaleNormal="80" zoomScalePageLayoutView="82" workbookViewId="0">
      <selection activeCell="C27" sqref="C27"/>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OFFSET(Bewertungen!$N$7,Bewertungen!$AS$10,0)</f>
        <v>0</v>
      </c>
    </row>
    <row r="6" spans="1:3">
      <c r="A6" s="28" t="s">
        <v>72</v>
      </c>
      <c r="B6" s="28">
        <f ca="1">OFFSET(Bewertungen!$N$8,Bewertungen!$AS$10,0)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OFFSET(Bewertungen!$N$32,Bewertungen!$AS$10,0)</f>
        <v>0</v>
      </c>
    </row>
    <row r="15" spans="1:3">
      <c r="A15" s="42" t="s">
        <v>41</v>
      </c>
      <c r="B15" s="45" t="s">
        <v>42</v>
      </c>
      <c r="C15" s="43" t="s">
        <v>76</v>
      </c>
    </row>
    <row r="16" spans="1:3" ht="13.9" thickBot="1">
      <c r="A16" s="46"/>
      <c r="B16" s="47"/>
      <c r="C16" s="53"/>
    </row>
    <row r="17" spans="1:3" ht="26.45">
      <c r="A17" s="34" t="s">
        <v>43</v>
      </c>
      <c r="B17" s="48" t="s">
        <v>44</v>
      </c>
      <c r="C17" s="31">
        <f ca="1">OFFSET(Bewertungen!N11,Bewertungen!$AS$10,0)</f>
        <v>0</v>
      </c>
    </row>
    <row r="18" spans="1:3" ht="26.45">
      <c r="A18" s="74" t="s">
        <v>77</v>
      </c>
      <c r="B18" s="49" t="s">
        <v>78</v>
      </c>
      <c r="C18" s="31">
        <f ca="1">OFFSET(Bewertungen!N12,Bewertungen!$AS$10,0)</f>
        <v>0</v>
      </c>
    </row>
    <row r="19" spans="1:3">
      <c r="A19" s="75"/>
      <c r="B19" s="50" t="s">
        <v>79</v>
      </c>
      <c r="C19" s="32">
        <f ca="1">OFFSET(Bewertungen!N13,Bewertungen!$AS$10,0)</f>
        <v>0</v>
      </c>
    </row>
    <row r="20" spans="1:3">
      <c r="A20" s="75"/>
      <c r="B20" s="50" t="s">
        <v>48</v>
      </c>
      <c r="C20" s="32">
        <f ca="1">OFFSET(Bewertungen!N14,Bewertungen!$AS$10,0)</f>
        <v>0</v>
      </c>
    </row>
    <row r="21" spans="1:3" ht="39.6">
      <c r="A21" s="75"/>
      <c r="B21" s="50" t="s">
        <v>49</v>
      </c>
      <c r="C21" s="32">
        <f ca="1">OFFSET(Bewertungen!N15,Bewertungen!$AS$10,0)</f>
        <v>0</v>
      </c>
    </row>
    <row r="22" spans="1:3" ht="26.45">
      <c r="A22" s="75"/>
      <c r="B22" s="50" t="s">
        <v>50</v>
      </c>
      <c r="C22" s="32">
        <f ca="1">OFFSET(Bewertungen!N16,Bewertungen!$AS$10,0)</f>
        <v>0</v>
      </c>
    </row>
    <row r="23" spans="1:3" ht="26.45">
      <c r="A23" s="75"/>
      <c r="B23" s="50" t="s">
        <v>51</v>
      </c>
      <c r="C23" s="32">
        <f ca="1">OFFSET(Bewertungen!N17,Bewertungen!$AS$10,0)</f>
        <v>0</v>
      </c>
    </row>
    <row r="24" spans="1:3" ht="26.45">
      <c r="A24" s="76"/>
      <c r="B24" s="51" t="s">
        <v>52</v>
      </c>
      <c r="C24" s="33">
        <f ca="1">OFFSET(Bewertungen!N18,Bewertungen!$AS$10,0)</f>
        <v>0</v>
      </c>
    </row>
    <row r="25" spans="1:3" ht="26.45">
      <c r="A25" s="74" t="s">
        <v>80</v>
      </c>
      <c r="B25" s="52" t="s">
        <v>54</v>
      </c>
      <c r="C25" s="31">
        <f ca="1">OFFSET(Bewertungen!N19,Bewertungen!$AS$10,0)</f>
        <v>0</v>
      </c>
    </row>
    <row r="26" spans="1:3" ht="26.45">
      <c r="A26" s="75"/>
      <c r="B26" s="50" t="s">
        <v>81</v>
      </c>
      <c r="C26" s="32">
        <f ca="1">OFFSET(Bewertungen!N20,Bewertungen!$AS$10,0)</f>
        <v>0</v>
      </c>
    </row>
    <row r="27" spans="1:3" ht="26.45">
      <c r="A27" s="75"/>
      <c r="B27" s="50" t="s">
        <v>56</v>
      </c>
      <c r="C27" s="32">
        <f ca="1">OFFSET(Bewertungen!N21,Bewertungen!$AS$10,0)</f>
        <v>0</v>
      </c>
    </row>
    <row r="28" spans="1:3" ht="39.6">
      <c r="A28" s="75"/>
      <c r="B28" s="50" t="s">
        <v>57</v>
      </c>
      <c r="C28" s="32">
        <f ca="1">OFFSET(Bewertungen!N22,Bewertungen!$AS$10,0)</f>
        <v>0</v>
      </c>
    </row>
    <row r="29" spans="1:3">
      <c r="A29" s="75"/>
      <c r="B29" s="50" t="s">
        <v>58</v>
      </c>
      <c r="C29" s="32">
        <f ca="1">OFFSET(Bewertungen!N23,Bewertungen!$AS$10,0)</f>
        <v>0</v>
      </c>
    </row>
    <row r="30" spans="1:3" ht="26.45">
      <c r="A30" s="75"/>
      <c r="B30" s="50" t="s">
        <v>59</v>
      </c>
      <c r="C30" s="32">
        <f ca="1">OFFSET(Bewertungen!N24,Bewertungen!$AS$10,0)</f>
        <v>0</v>
      </c>
    </row>
    <row r="31" spans="1:3" ht="26.45">
      <c r="A31" s="76"/>
      <c r="B31" s="51" t="s">
        <v>60</v>
      </c>
      <c r="C31" s="33">
        <f ca="1">OFFSET(Bewertungen!N25,Bewertungen!$AS$10,0)</f>
        <v>0</v>
      </c>
    </row>
    <row r="32" spans="1:3" ht="26.45">
      <c r="A32" s="74" t="s">
        <v>61</v>
      </c>
      <c r="B32" s="49" t="s">
        <v>62</v>
      </c>
      <c r="C32" s="32">
        <f ca="1">OFFSET(Bewertungen!N26,Bewertungen!$AS$10,0)</f>
        <v>0</v>
      </c>
    </row>
    <row r="33" spans="1:3" ht="66">
      <c r="A33" s="75"/>
      <c r="B33" s="50" t="s">
        <v>63</v>
      </c>
      <c r="C33" s="32">
        <f ca="1">OFFSET(Bewertungen!N27,Bewertungen!$AS$10,0)</f>
        <v>0</v>
      </c>
    </row>
    <row r="34" spans="1:3" ht="26.45">
      <c r="A34" s="75"/>
      <c r="B34" s="50" t="s">
        <v>64</v>
      </c>
      <c r="C34" s="32">
        <f ca="1">OFFSET(Bewertungen!N28,Bewertungen!$AS$10,0)</f>
        <v>0</v>
      </c>
    </row>
    <row r="35" spans="1:3">
      <c r="A35" s="75"/>
      <c r="B35" s="50" t="s">
        <v>82</v>
      </c>
      <c r="C35" s="32">
        <f ca="1">OFFSET(Bewertungen!N29,Bewertungen!$AS$10,0)</f>
        <v>0</v>
      </c>
    </row>
    <row r="36" spans="1:3" ht="26.45">
      <c r="A36" s="76"/>
      <c r="B36" s="51" t="s">
        <v>83</v>
      </c>
      <c r="C36" s="33">
        <f ca="1">OFFSET(Bewertungen!N30,Bewertungen!$AS$10,0)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40D85-C2C2-470E-9089-9F8292C429C1}">
  <dimension ref="A1:C36"/>
  <sheetViews>
    <sheetView view="pageLayout" topLeftCell="A11" zoomScale="82" zoomScaleNormal="80" zoomScalePageLayoutView="82" workbookViewId="0">
      <selection activeCell="C22" sqref="C22"/>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OFFSET(Bewertungen!$O$7,Bewertungen!$AS$10,0)</f>
        <v>0</v>
      </c>
    </row>
    <row r="6" spans="1:3">
      <c r="A6" s="28" t="s">
        <v>72</v>
      </c>
      <c r="B6" s="28">
        <f ca="1">OFFSET(Bewertungen!$O$8,Bewertungen!$AS$10,0)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OFFSET(Bewertungen!$O$32,Bewertungen!$AS$10,0)</f>
        <v>0</v>
      </c>
    </row>
    <row r="15" spans="1:3">
      <c r="A15" s="42" t="s">
        <v>41</v>
      </c>
      <c r="B15" s="45" t="s">
        <v>42</v>
      </c>
      <c r="C15" s="43" t="s">
        <v>76</v>
      </c>
    </row>
    <row r="16" spans="1:3" ht="13.9" thickBot="1">
      <c r="A16" s="46"/>
      <c r="B16" s="47"/>
      <c r="C16" s="41"/>
    </row>
    <row r="17" spans="1:3" ht="26.45">
      <c r="A17" s="34" t="s">
        <v>43</v>
      </c>
      <c r="B17" s="48" t="s">
        <v>44</v>
      </c>
      <c r="C17" s="32">
        <f ca="1">OFFSET(Bewertungen!O11,Bewertungen!$AS$10,0)</f>
        <v>0</v>
      </c>
    </row>
    <row r="18" spans="1:3" ht="26.45">
      <c r="A18" s="74" t="s">
        <v>77</v>
      </c>
      <c r="B18" s="49" t="s">
        <v>78</v>
      </c>
      <c r="C18" s="31">
        <f ca="1">OFFSET(Bewertungen!O12,Bewertungen!$AS$10,0)</f>
        <v>0</v>
      </c>
    </row>
    <row r="19" spans="1:3">
      <c r="A19" s="75"/>
      <c r="B19" s="50" t="s">
        <v>79</v>
      </c>
      <c r="C19" s="32">
        <f ca="1">OFFSET(Bewertungen!O13,Bewertungen!$AS$10,0)</f>
        <v>0</v>
      </c>
    </row>
    <row r="20" spans="1:3">
      <c r="A20" s="75"/>
      <c r="B20" s="50" t="s">
        <v>48</v>
      </c>
      <c r="C20" s="32">
        <f ca="1">OFFSET(Bewertungen!O14,Bewertungen!$AS$10,0)</f>
        <v>0</v>
      </c>
    </row>
    <row r="21" spans="1:3" ht="39.6">
      <c r="A21" s="75"/>
      <c r="B21" s="50" t="s">
        <v>49</v>
      </c>
      <c r="C21" s="32">
        <f ca="1">OFFSET(Bewertungen!O15,Bewertungen!$AS$10,0)</f>
        <v>0</v>
      </c>
    </row>
    <row r="22" spans="1:3" ht="26.45">
      <c r="A22" s="75"/>
      <c r="B22" s="50" t="s">
        <v>50</v>
      </c>
      <c r="C22" s="32">
        <f ca="1">OFFSET(Bewertungen!O16,Bewertungen!$AS$10,0)</f>
        <v>0</v>
      </c>
    </row>
    <row r="23" spans="1:3" ht="26.45">
      <c r="A23" s="75"/>
      <c r="B23" s="50" t="s">
        <v>51</v>
      </c>
      <c r="C23" s="32">
        <f ca="1">OFFSET(Bewertungen!O17,Bewertungen!$AS$10,0)</f>
        <v>0</v>
      </c>
    </row>
    <row r="24" spans="1:3" ht="26.45">
      <c r="A24" s="76"/>
      <c r="B24" s="51" t="s">
        <v>52</v>
      </c>
      <c r="C24" s="33">
        <f ca="1">OFFSET(Bewertungen!O18,Bewertungen!$AS$10,0)</f>
        <v>0</v>
      </c>
    </row>
    <row r="25" spans="1:3" ht="26.45">
      <c r="A25" s="74" t="s">
        <v>80</v>
      </c>
      <c r="B25" s="52" t="s">
        <v>54</v>
      </c>
      <c r="C25" s="31">
        <f ca="1">OFFSET(Bewertungen!O19,Bewertungen!$AS$10,0)</f>
        <v>0</v>
      </c>
    </row>
    <row r="26" spans="1:3" ht="26.45">
      <c r="A26" s="75"/>
      <c r="B26" s="50" t="s">
        <v>81</v>
      </c>
      <c r="C26" s="32">
        <f ca="1">OFFSET(Bewertungen!O20,Bewertungen!$AS$10,0)</f>
        <v>0</v>
      </c>
    </row>
    <row r="27" spans="1:3" ht="26.45">
      <c r="A27" s="75"/>
      <c r="B27" s="50" t="s">
        <v>56</v>
      </c>
      <c r="C27" s="32">
        <f ca="1">OFFSET(Bewertungen!O21,Bewertungen!$AS$10,0)</f>
        <v>0</v>
      </c>
    </row>
    <row r="28" spans="1:3" ht="39.6">
      <c r="A28" s="75"/>
      <c r="B28" s="50" t="s">
        <v>57</v>
      </c>
      <c r="C28" s="32">
        <f ca="1">OFFSET(Bewertungen!O22,Bewertungen!$AS$10,0)</f>
        <v>0</v>
      </c>
    </row>
    <row r="29" spans="1:3">
      <c r="A29" s="75"/>
      <c r="B29" s="50" t="s">
        <v>58</v>
      </c>
      <c r="C29" s="32">
        <f ca="1">OFFSET(Bewertungen!O23,Bewertungen!$AS$10,0)</f>
        <v>0</v>
      </c>
    </row>
    <row r="30" spans="1:3" ht="26.45">
      <c r="A30" s="75"/>
      <c r="B30" s="50" t="s">
        <v>59</v>
      </c>
      <c r="C30" s="32">
        <f ca="1">OFFSET(Bewertungen!O24,Bewertungen!$AS$10,0)</f>
        <v>0</v>
      </c>
    </row>
    <row r="31" spans="1:3" ht="26.45">
      <c r="A31" s="76"/>
      <c r="B31" s="51" t="s">
        <v>60</v>
      </c>
      <c r="C31" s="33">
        <f ca="1">OFFSET(Bewertungen!O25,Bewertungen!$AS$10,0)</f>
        <v>0</v>
      </c>
    </row>
    <row r="32" spans="1:3" ht="26.45">
      <c r="A32" s="74" t="s">
        <v>61</v>
      </c>
      <c r="B32" s="49" t="s">
        <v>62</v>
      </c>
      <c r="C32" s="32">
        <f ca="1">OFFSET(Bewertungen!O26,Bewertungen!$AS$10,0)</f>
        <v>0</v>
      </c>
    </row>
    <row r="33" spans="1:3" ht="66">
      <c r="A33" s="75"/>
      <c r="B33" s="50" t="s">
        <v>63</v>
      </c>
      <c r="C33" s="32">
        <f ca="1">OFFSET(Bewertungen!O27,Bewertungen!$AS$10,0)</f>
        <v>0</v>
      </c>
    </row>
    <row r="34" spans="1:3" ht="26.45">
      <c r="A34" s="75"/>
      <c r="B34" s="50" t="s">
        <v>64</v>
      </c>
      <c r="C34" s="32">
        <f ca="1">OFFSET(Bewertungen!O28,Bewertungen!$AS$10,0)</f>
        <v>0</v>
      </c>
    </row>
    <row r="35" spans="1:3">
      <c r="A35" s="75"/>
      <c r="B35" s="50" t="s">
        <v>82</v>
      </c>
      <c r="C35" s="32">
        <f ca="1">OFFSET(Bewertungen!O29,Bewertungen!$AS$10,0)</f>
        <v>0</v>
      </c>
    </row>
    <row r="36" spans="1:3" ht="26.45">
      <c r="A36" s="76"/>
      <c r="B36" s="51" t="s">
        <v>83</v>
      </c>
      <c r="C36" s="33">
        <f ca="1">OFFSET(Bewertungen!O30,Bewertungen!$AS$10,0)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3631A-FBDA-498C-ABF1-A17CDC2A943B}">
  <dimension ref="A1:C36"/>
  <sheetViews>
    <sheetView view="pageLayout" topLeftCell="A9" zoomScale="82" zoomScaleNormal="80" zoomScalePageLayoutView="82" workbookViewId="0">
      <selection activeCell="C29" sqref="C29"/>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OFFSET(Bewertungen!$P$7,Bewertungen!$AS$10,0)</f>
        <v>0</v>
      </c>
    </row>
    <row r="6" spans="1:3">
      <c r="A6" s="28" t="s">
        <v>72</v>
      </c>
      <c r="B6" s="28">
        <f ca="1">OFFSET(Bewertungen!$P$8,Bewertungen!$AS$10,0)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OFFSET(Bewertungen!$P$32,Bewertungen!$AS$10,0)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OFFSET(Bewertungen!P11,Bewertungen!$AS$10,0)</f>
        <v>0</v>
      </c>
    </row>
    <row r="18" spans="1:3" ht="26.45">
      <c r="A18" s="74" t="s">
        <v>77</v>
      </c>
      <c r="B18" s="49" t="s">
        <v>78</v>
      </c>
      <c r="C18" s="31">
        <f ca="1">OFFSET(Bewertungen!P12,Bewertungen!$AS$10,0)</f>
        <v>0</v>
      </c>
    </row>
    <row r="19" spans="1:3">
      <c r="A19" s="75"/>
      <c r="B19" s="50" t="s">
        <v>79</v>
      </c>
      <c r="C19" s="32">
        <f ca="1">OFFSET(Bewertungen!P13,Bewertungen!$AS$10,0)</f>
        <v>0</v>
      </c>
    </row>
    <row r="20" spans="1:3">
      <c r="A20" s="75"/>
      <c r="B20" s="50" t="s">
        <v>48</v>
      </c>
      <c r="C20" s="32">
        <f ca="1">OFFSET(Bewertungen!P14,Bewertungen!$AS$10,0)</f>
        <v>0</v>
      </c>
    </row>
    <row r="21" spans="1:3" ht="39.6">
      <c r="A21" s="75"/>
      <c r="B21" s="50" t="s">
        <v>49</v>
      </c>
      <c r="C21" s="32">
        <f ca="1">OFFSET(Bewertungen!P15,Bewertungen!$AS$10,0)</f>
        <v>0</v>
      </c>
    </row>
    <row r="22" spans="1:3" ht="26.45">
      <c r="A22" s="75"/>
      <c r="B22" s="50" t="s">
        <v>50</v>
      </c>
      <c r="C22" s="32">
        <f ca="1">OFFSET(Bewertungen!P16,Bewertungen!$AS$10,0)</f>
        <v>0</v>
      </c>
    </row>
    <row r="23" spans="1:3" ht="26.45">
      <c r="A23" s="75"/>
      <c r="B23" s="50" t="s">
        <v>51</v>
      </c>
      <c r="C23" s="32">
        <f ca="1">OFFSET(Bewertungen!P17,Bewertungen!$AS$10,0)</f>
        <v>0</v>
      </c>
    </row>
    <row r="24" spans="1:3" ht="26.45">
      <c r="A24" s="76"/>
      <c r="B24" s="51" t="s">
        <v>52</v>
      </c>
      <c r="C24" s="32">
        <f ca="1">OFFSET(Bewertungen!P18,Bewertungen!$AS$10,0)</f>
        <v>0</v>
      </c>
    </row>
    <row r="25" spans="1:3" ht="26.45">
      <c r="A25" s="74" t="s">
        <v>80</v>
      </c>
      <c r="B25" s="52" t="s">
        <v>54</v>
      </c>
      <c r="C25" s="31">
        <f ca="1">OFFSET(Bewertungen!P19,Bewertungen!$AS$10,0)</f>
        <v>0</v>
      </c>
    </row>
    <row r="26" spans="1:3" ht="26.45">
      <c r="A26" s="75"/>
      <c r="B26" s="50" t="s">
        <v>81</v>
      </c>
      <c r="C26" s="32">
        <f ca="1">OFFSET(Bewertungen!P20,Bewertungen!$AS$10,0)</f>
        <v>0</v>
      </c>
    </row>
    <row r="27" spans="1:3" ht="26.45">
      <c r="A27" s="75"/>
      <c r="B27" s="50" t="s">
        <v>56</v>
      </c>
      <c r="C27" s="32">
        <f ca="1">OFFSET(Bewertungen!P21,Bewertungen!$AS$10,0)</f>
        <v>0</v>
      </c>
    </row>
    <row r="28" spans="1:3" ht="39.6">
      <c r="A28" s="75"/>
      <c r="B28" s="50" t="s">
        <v>57</v>
      </c>
      <c r="C28" s="32">
        <f ca="1">OFFSET(Bewertungen!P22,Bewertungen!$AS$10,0)</f>
        <v>0</v>
      </c>
    </row>
    <row r="29" spans="1:3">
      <c r="A29" s="75"/>
      <c r="B29" s="50" t="s">
        <v>58</v>
      </c>
      <c r="C29" s="32">
        <f ca="1">OFFSET(Bewertungen!P23,Bewertungen!$AS$10,0)</f>
        <v>0</v>
      </c>
    </row>
    <row r="30" spans="1:3" ht="26.45">
      <c r="A30" s="75"/>
      <c r="B30" s="50" t="s">
        <v>59</v>
      </c>
      <c r="C30" s="32">
        <f ca="1">OFFSET(Bewertungen!P24,Bewertungen!$AS$10,0)</f>
        <v>0</v>
      </c>
    </row>
    <row r="31" spans="1:3" ht="26.45">
      <c r="A31" s="76"/>
      <c r="B31" s="51" t="s">
        <v>60</v>
      </c>
      <c r="C31" s="33">
        <f ca="1">OFFSET(Bewertungen!P25,Bewertungen!$AS$10,0)</f>
        <v>0</v>
      </c>
    </row>
    <row r="32" spans="1:3" ht="26.45">
      <c r="A32" s="74" t="s">
        <v>61</v>
      </c>
      <c r="B32" s="49" t="s">
        <v>62</v>
      </c>
      <c r="C32" s="32">
        <f ca="1">OFFSET(Bewertungen!P26,Bewertungen!$AS$10,0)</f>
        <v>0</v>
      </c>
    </row>
    <row r="33" spans="1:3" ht="66">
      <c r="A33" s="75"/>
      <c r="B33" s="50" t="s">
        <v>63</v>
      </c>
      <c r="C33" s="32">
        <f ca="1">OFFSET(Bewertungen!P27,Bewertungen!$AS$10,0)</f>
        <v>0</v>
      </c>
    </row>
    <row r="34" spans="1:3" ht="26.45">
      <c r="A34" s="75"/>
      <c r="B34" s="50" t="s">
        <v>64</v>
      </c>
      <c r="C34" s="32">
        <f ca="1">OFFSET(Bewertungen!P28,Bewertungen!$AS$10,0)</f>
        <v>0</v>
      </c>
    </row>
    <row r="35" spans="1:3">
      <c r="A35" s="75"/>
      <c r="B35" s="50" t="s">
        <v>82</v>
      </c>
      <c r="C35" s="32">
        <f ca="1">OFFSET(Bewertungen!P29,Bewertungen!$AS$10,0)</f>
        <v>0</v>
      </c>
    </row>
    <row r="36" spans="1:3" ht="26.45">
      <c r="A36" s="76"/>
      <c r="B36" s="51" t="s">
        <v>83</v>
      </c>
      <c r="C36" s="33">
        <f ca="1">OFFSET(Bewertungen!P30,Bewertungen!$AS$10,0)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E996F-1F21-43DF-BE46-796DB672B2F5}">
  <dimension ref="A1:C36"/>
  <sheetViews>
    <sheetView view="pageLayout" topLeftCell="A30" zoomScale="82" zoomScaleNormal="80" zoomScalePageLayoutView="82" workbookViewId="0">
      <selection activeCell="B32" sqref="B32"/>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OFFSET(Bewertungen!$Q$7,Bewertungen!$AS$10,0)</f>
        <v>0</v>
      </c>
    </row>
    <row r="6" spans="1:3">
      <c r="A6" s="28" t="s">
        <v>72</v>
      </c>
      <c r="B6" s="28">
        <f ca="1">OFFSET(Bewertungen!$Q$8,Bewertungen!$AS$10,0)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OFFSET(Bewertungen!$Q$32,Bewertungen!$AS$10,0)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OFFSET(Bewertungen!Q11,Bewertungen!$AS$10,0)</f>
        <v>0</v>
      </c>
    </row>
    <row r="18" spans="1:3" ht="26.45">
      <c r="A18" s="74" t="s">
        <v>77</v>
      </c>
      <c r="B18" s="49" t="s">
        <v>78</v>
      </c>
      <c r="C18" s="31">
        <f ca="1">OFFSET(Bewertungen!Q12,Bewertungen!$AS$10,0)</f>
        <v>0</v>
      </c>
    </row>
    <row r="19" spans="1:3">
      <c r="A19" s="75"/>
      <c r="B19" s="50" t="s">
        <v>79</v>
      </c>
      <c r="C19" s="32">
        <f ca="1">OFFSET(Bewertungen!Q13,Bewertungen!$AS$10,0)</f>
        <v>0</v>
      </c>
    </row>
    <row r="20" spans="1:3">
      <c r="A20" s="75"/>
      <c r="B20" s="50" t="s">
        <v>48</v>
      </c>
      <c r="C20" s="32">
        <f ca="1">OFFSET(Bewertungen!Q14,Bewertungen!$AS$10,0)</f>
        <v>0</v>
      </c>
    </row>
    <row r="21" spans="1:3" ht="39.6">
      <c r="A21" s="75"/>
      <c r="B21" s="50" t="s">
        <v>49</v>
      </c>
      <c r="C21" s="32">
        <f ca="1">OFFSET(Bewertungen!Q15,Bewertungen!$AS$10,0)</f>
        <v>0</v>
      </c>
    </row>
    <row r="22" spans="1:3" ht="26.45">
      <c r="A22" s="75"/>
      <c r="B22" s="50" t="s">
        <v>50</v>
      </c>
      <c r="C22" s="32">
        <f ca="1">OFFSET(Bewertungen!Q16,Bewertungen!$AS$10,0)</f>
        <v>0</v>
      </c>
    </row>
    <row r="23" spans="1:3" ht="26.45">
      <c r="A23" s="75"/>
      <c r="B23" s="50" t="s">
        <v>51</v>
      </c>
      <c r="C23" s="32">
        <f ca="1">OFFSET(Bewertungen!Q17,Bewertungen!$AS$10,0)</f>
        <v>0</v>
      </c>
    </row>
    <row r="24" spans="1:3" ht="26.45">
      <c r="A24" s="76"/>
      <c r="B24" s="51" t="s">
        <v>52</v>
      </c>
      <c r="C24" s="32">
        <f ca="1">OFFSET(Bewertungen!Q18,Bewertungen!$AS$10,0)</f>
        <v>0</v>
      </c>
    </row>
    <row r="25" spans="1:3" ht="26.45">
      <c r="A25" s="74" t="s">
        <v>80</v>
      </c>
      <c r="B25" s="52" t="s">
        <v>54</v>
      </c>
      <c r="C25" s="31">
        <f ca="1">OFFSET(Bewertungen!Q19,Bewertungen!$AS$10,0)</f>
        <v>0</v>
      </c>
    </row>
    <row r="26" spans="1:3" ht="26.45">
      <c r="A26" s="75"/>
      <c r="B26" s="50" t="s">
        <v>81</v>
      </c>
      <c r="C26" s="32">
        <f ca="1">OFFSET(Bewertungen!Q20,Bewertungen!$AS$10,0)</f>
        <v>0</v>
      </c>
    </row>
    <row r="27" spans="1:3" ht="26.45">
      <c r="A27" s="75"/>
      <c r="B27" s="50" t="s">
        <v>56</v>
      </c>
      <c r="C27" s="32">
        <f ca="1">OFFSET(Bewertungen!Q21,Bewertungen!$AS$10,0)</f>
        <v>0</v>
      </c>
    </row>
    <row r="28" spans="1:3" ht="39.6">
      <c r="A28" s="75"/>
      <c r="B28" s="50" t="s">
        <v>57</v>
      </c>
      <c r="C28" s="32">
        <f ca="1">OFFSET(Bewertungen!Q22,Bewertungen!$AS$10,0)</f>
        <v>0</v>
      </c>
    </row>
    <row r="29" spans="1:3">
      <c r="A29" s="75"/>
      <c r="B29" s="50" t="s">
        <v>58</v>
      </c>
      <c r="C29" s="32">
        <f ca="1">OFFSET(Bewertungen!Q23,Bewertungen!$AS$10,0)</f>
        <v>0</v>
      </c>
    </row>
    <row r="30" spans="1:3" ht="26.45">
      <c r="A30" s="75"/>
      <c r="B30" s="50" t="s">
        <v>59</v>
      </c>
      <c r="C30" s="32">
        <f ca="1">OFFSET(Bewertungen!Q24,Bewertungen!$AS$10,0)</f>
        <v>0</v>
      </c>
    </row>
    <row r="31" spans="1:3" ht="26.45">
      <c r="A31" s="76"/>
      <c r="B31" s="51" t="s">
        <v>60</v>
      </c>
      <c r="C31" s="33">
        <f ca="1">OFFSET(Bewertungen!Q25,Bewertungen!$AS$10,0)</f>
        <v>0</v>
      </c>
    </row>
    <row r="32" spans="1:3" ht="26.45">
      <c r="A32" s="74" t="s">
        <v>61</v>
      </c>
      <c r="B32" s="49" t="s">
        <v>62</v>
      </c>
      <c r="C32" s="32">
        <f ca="1">OFFSET(Bewertungen!Q26,Bewertungen!$AS$10,0)</f>
        <v>0</v>
      </c>
    </row>
    <row r="33" spans="1:3" ht="66">
      <c r="A33" s="75"/>
      <c r="B33" s="50" t="s">
        <v>63</v>
      </c>
      <c r="C33" s="32">
        <f ca="1">OFFSET(Bewertungen!Q27,Bewertungen!$AS$10,0)</f>
        <v>0</v>
      </c>
    </row>
    <row r="34" spans="1:3" ht="26.45">
      <c r="A34" s="75"/>
      <c r="B34" s="50" t="s">
        <v>64</v>
      </c>
      <c r="C34" s="32">
        <f ca="1">OFFSET(Bewertungen!Q28,Bewertungen!$AS$10,0)</f>
        <v>0</v>
      </c>
    </row>
    <row r="35" spans="1:3">
      <c r="A35" s="75"/>
      <c r="B35" s="50" t="s">
        <v>82</v>
      </c>
      <c r="C35" s="32">
        <f ca="1">OFFSET(Bewertungen!Q29,Bewertungen!$AS$10,0)</f>
        <v>0</v>
      </c>
    </row>
    <row r="36" spans="1:3" ht="26.45">
      <c r="A36" s="76"/>
      <c r="B36" s="51" t="s">
        <v>83</v>
      </c>
      <c r="C36" s="33">
        <f ca="1">OFFSET(Bewertungen!Q30,Bewertungen!$AS$10,0)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ED3C8-D71C-42E4-88DE-D81312D1D8CA}">
  <dimension ref="A1:C36"/>
  <sheetViews>
    <sheetView view="pageLayout" topLeftCell="A27" zoomScale="82" zoomScaleNormal="80" zoomScalePageLayoutView="82" workbookViewId="0">
      <selection activeCell="C28" sqref="C28"/>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OFFSET(Bewertungen!$R$7,Bewertungen!$AS$10,0)</f>
        <v>0</v>
      </c>
    </row>
    <row r="6" spans="1:3">
      <c r="A6" s="28" t="s">
        <v>72</v>
      </c>
      <c r="B6" s="28">
        <f ca="1">OFFSET(Bewertungen!$R$8,Bewertungen!$AS$10,0)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OFFSET(Bewertungen!$R$32,Bewertungen!$AS$10,0)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OFFSET(Bewertungen!R11,Bewertungen!$AS$10,0)</f>
        <v>0</v>
      </c>
    </row>
    <row r="18" spans="1:3" ht="26.45">
      <c r="A18" s="74" t="s">
        <v>77</v>
      </c>
      <c r="B18" s="49" t="s">
        <v>78</v>
      </c>
      <c r="C18" s="31">
        <f ca="1">OFFSET(Bewertungen!R12,Bewertungen!$AS$10,0)</f>
        <v>0</v>
      </c>
    </row>
    <row r="19" spans="1:3">
      <c r="A19" s="75"/>
      <c r="B19" s="50" t="s">
        <v>79</v>
      </c>
      <c r="C19" s="32">
        <f ca="1">OFFSET(Bewertungen!R13,Bewertungen!$AS$10,0)</f>
        <v>0</v>
      </c>
    </row>
    <row r="20" spans="1:3">
      <c r="A20" s="75"/>
      <c r="B20" s="50" t="s">
        <v>48</v>
      </c>
      <c r="C20" s="32">
        <f ca="1">OFFSET(Bewertungen!R14,Bewertungen!$AS$10,0)</f>
        <v>0</v>
      </c>
    </row>
    <row r="21" spans="1:3" ht="39.6">
      <c r="A21" s="75"/>
      <c r="B21" s="50" t="s">
        <v>49</v>
      </c>
      <c r="C21" s="32">
        <f ca="1">OFFSET(Bewertungen!R15,Bewertungen!$AS$10,0)</f>
        <v>0</v>
      </c>
    </row>
    <row r="22" spans="1:3" ht="26.45">
      <c r="A22" s="75"/>
      <c r="B22" s="50" t="s">
        <v>50</v>
      </c>
      <c r="C22" s="32">
        <f ca="1">OFFSET(Bewertungen!R16,Bewertungen!$AS$10,0)</f>
        <v>0</v>
      </c>
    </row>
    <row r="23" spans="1:3" ht="26.45">
      <c r="A23" s="75"/>
      <c r="B23" s="50" t="s">
        <v>51</v>
      </c>
      <c r="C23" s="32">
        <f ca="1">OFFSET(Bewertungen!R17,Bewertungen!$AS$10,0)</f>
        <v>0</v>
      </c>
    </row>
    <row r="24" spans="1:3" ht="26.45">
      <c r="A24" s="76"/>
      <c r="B24" s="51" t="s">
        <v>52</v>
      </c>
      <c r="C24" s="32">
        <f ca="1">OFFSET(Bewertungen!R18,Bewertungen!$AS$10,0)</f>
        <v>0</v>
      </c>
    </row>
    <row r="25" spans="1:3" ht="26.45">
      <c r="A25" s="74" t="s">
        <v>80</v>
      </c>
      <c r="B25" s="52" t="s">
        <v>54</v>
      </c>
      <c r="C25" s="31">
        <f ca="1">OFFSET(Bewertungen!R19,Bewertungen!$AS$10,0)</f>
        <v>0</v>
      </c>
    </row>
    <row r="26" spans="1:3" ht="26.45">
      <c r="A26" s="75"/>
      <c r="B26" s="50" t="s">
        <v>81</v>
      </c>
      <c r="C26" s="32">
        <f ca="1">OFFSET(Bewertungen!R20,Bewertungen!$AS$10,0)</f>
        <v>0</v>
      </c>
    </row>
    <row r="27" spans="1:3" ht="26.45">
      <c r="A27" s="75"/>
      <c r="B27" s="50" t="s">
        <v>56</v>
      </c>
      <c r="C27" s="32">
        <f ca="1">OFFSET(Bewertungen!R21,Bewertungen!$AS$10,0)</f>
        <v>0</v>
      </c>
    </row>
    <row r="28" spans="1:3" ht="39.6">
      <c r="A28" s="75"/>
      <c r="B28" s="50" t="s">
        <v>57</v>
      </c>
      <c r="C28" s="32">
        <f ca="1">OFFSET(Bewertungen!R22,Bewertungen!$AS$10,0)</f>
        <v>0</v>
      </c>
    </row>
    <row r="29" spans="1:3">
      <c r="A29" s="75"/>
      <c r="B29" s="50" t="s">
        <v>58</v>
      </c>
      <c r="C29" s="32">
        <f ca="1">OFFSET(Bewertungen!R23,Bewertungen!$AS$10,0)</f>
        <v>0</v>
      </c>
    </row>
    <row r="30" spans="1:3" ht="26.45">
      <c r="A30" s="75"/>
      <c r="B30" s="50" t="s">
        <v>59</v>
      </c>
      <c r="C30" s="32">
        <f ca="1">OFFSET(Bewertungen!R24,Bewertungen!$AS$10,0)</f>
        <v>0</v>
      </c>
    </row>
    <row r="31" spans="1:3" ht="26.45">
      <c r="A31" s="76"/>
      <c r="B31" s="51" t="s">
        <v>60</v>
      </c>
      <c r="C31" s="33">
        <f ca="1">OFFSET(Bewertungen!R25,Bewertungen!$AS$10,0)</f>
        <v>0</v>
      </c>
    </row>
    <row r="32" spans="1:3" ht="26.45">
      <c r="A32" s="74" t="s">
        <v>61</v>
      </c>
      <c r="B32" s="49" t="s">
        <v>62</v>
      </c>
      <c r="C32" s="32">
        <f ca="1">OFFSET(Bewertungen!R26,Bewertungen!$AS$10,0)</f>
        <v>0</v>
      </c>
    </row>
    <row r="33" spans="1:3" ht="66">
      <c r="A33" s="75"/>
      <c r="B33" s="50" t="s">
        <v>63</v>
      </c>
      <c r="C33" s="32">
        <f ca="1">OFFSET(Bewertungen!R27,Bewertungen!$AS$10,0)</f>
        <v>0</v>
      </c>
    </row>
    <row r="34" spans="1:3" ht="26.45">
      <c r="A34" s="75"/>
      <c r="B34" s="50" t="s">
        <v>64</v>
      </c>
      <c r="C34" s="32">
        <f ca="1">OFFSET(Bewertungen!R28,Bewertungen!$AS$10,0)</f>
        <v>0</v>
      </c>
    </row>
    <row r="35" spans="1:3">
      <c r="A35" s="75"/>
      <c r="B35" s="50" t="s">
        <v>82</v>
      </c>
      <c r="C35" s="32">
        <f ca="1">OFFSET(Bewertungen!R29,Bewertungen!$AS$10,0)</f>
        <v>0</v>
      </c>
    </row>
    <row r="36" spans="1:3" ht="26.45">
      <c r="A36" s="76"/>
      <c r="B36" s="51" t="s">
        <v>83</v>
      </c>
      <c r="C36" s="33">
        <f ca="1">OFFSET(Bewertungen!R30,Bewertungen!$AS$10,0)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F4AAC-1B59-4076-B154-A2B3EC3BBE83}">
  <dimension ref="A1:C36"/>
  <sheetViews>
    <sheetView view="pageLayout" topLeftCell="A24" zoomScale="82" zoomScaleNormal="80" zoomScalePageLayoutView="82" workbookViewId="0">
      <selection activeCell="C31" sqref="C31"/>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OFFSET(Bewertungen!$S$7,Bewertungen!$AS$10,0)</f>
        <v>0</v>
      </c>
    </row>
    <row r="6" spans="1:3">
      <c r="A6" s="28" t="s">
        <v>72</v>
      </c>
      <c r="B6" s="28">
        <f ca="1">OFFSET(Bewertungen!$S$8,Bewertungen!$AS$10,0)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OFFSET(Bewertungen!$S$32,Bewertungen!$AS$10,0)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OFFSET(Bewertungen!S11,Bewertungen!$AS$10,0)</f>
        <v>0</v>
      </c>
    </row>
    <row r="18" spans="1:3" ht="26.45">
      <c r="A18" s="74" t="s">
        <v>77</v>
      </c>
      <c r="B18" s="49" t="s">
        <v>78</v>
      </c>
      <c r="C18" s="31">
        <f ca="1">OFFSET(Bewertungen!S12,Bewertungen!$AS$10,0)</f>
        <v>0</v>
      </c>
    </row>
    <row r="19" spans="1:3">
      <c r="A19" s="75"/>
      <c r="B19" s="50" t="s">
        <v>79</v>
      </c>
      <c r="C19" s="32">
        <f ca="1">OFFSET(Bewertungen!S13,Bewertungen!$AS$10,0)</f>
        <v>0</v>
      </c>
    </row>
    <row r="20" spans="1:3">
      <c r="A20" s="75"/>
      <c r="B20" s="50" t="s">
        <v>48</v>
      </c>
      <c r="C20" s="32">
        <f ca="1">OFFSET(Bewertungen!S14,Bewertungen!$AS$10,0)</f>
        <v>0</v>
      </c>
    </row>
    <row r="21" spans="1:3" ht="39.6">
      <c r="A21" s="75"/>
      <c r="B21" s="50" t="s">
        <v>49</v>
      </c>
      <c r="C21" s="32">
        <f ca="1">OFFSET(Bewertungen!S15,Bewertungen!$AS$10,0)</f>
        <v>0</v>
      </c>
    </row>
    <row r="22" spans="1:3" ht="26.45">
      <c r="A22" s="75"/>
      <c r="B22" s="50" t="s">
        <v>50</v>
      </c>
      <c r="C22" s="32">
        <f ca="1">OFFSET(Bewertungen!S16,Bewertungen!$AS$10,0)</f>
        <v>0</v>
      </c>
    </row>
    <row r="23" spans="1:3" ht="26.45">
      <c r="A23" s="75"/>
      <c r="B23" s="50" t="s">
        <v>51</v>
      </c>
      <c r="C23" s="32">
        <f ca="1">OFFSET(Bewertungen!S17,Bewertungen!$AS$10,0)</f>
        <v>0</v>
      </c>
    </row>
    <row r="24" spans="1:3" ht="26.45">
      <c r="A24" s="76"/>
      <c r="B24" s="51" t="s">
        <v>52</v>
      </c>
      <c r="C24" s="32">
        <f ca="1">OFFSET(Bewertungen!S18,Bewertungen!$AS$10,0)</f>
        <v>0</v>
      </c>
    </row>
    <row r="25" spans="1:3" ht="26.45">
      <c r="A25" s="74" t="s">
        <v>80</v>
      </c>
      <c r="B25" s="52" t="s">
        <v>54</v>
      </c>
      <c r="C25" s="31">
        <f ca="1">OFFSET(Bewertungen!S19,Bewertungen!$AS$10,0)</f>
        <v>0</v>
      </c>
    </row>
    <row r="26" spans="1:3" ht="26.45">
      <c r="A26" s="75"/>
      <c r="B26" s="50" t="s">
        <v>81</v>
      </c>
      <c r="C26" s="32">
        <f ca="1">OFFSET(Bewertungen!S20,Bewertungen!$AS$10,0)</f>
        <v>0</v>
      </c>
    </row>
    <row r="27" spans="1:3" ht="26.45">
      <c r="A27" s="75"/>
      <c r="B27" s="50" t="s">
        <v>56</v>
      </c>
      <c r="C27" s="32">
        <f ca="1">OFFSET(Bewertungen!S21,Bewertungen!$AS$10,0)</f>
        <v>0</v>
      </c>
    </row>
    <row r="28" spans="1:3" ht="39.6">
      <c r="A28" s="75"/>
      <c r="B28" s="50" t="s">
        <v>57</v>
      </c>
      <c r="C28" s="32">
        <f ca="1">OFFSET(Bewertungen!S22,Bewertungen!$AS$10,0)</f>
        <v>0</v>
      </c>
    </row>
    <row r="29" spans="1:3">
      <c r="A29" s="75"/>
      <c r="B29" s="50" t="s">
        <v>58</v>
      </c>
      <c r="C29" s="32">
        <f ca="1">OFFSET(Bewertungen!S23,Bewertungen!$AS$10,0)</f>
        <v>0</v>
      </c>
    </row>
    <row r="30" spans="1:3" ht="26.45">
      <c r="A30" s="75"/>
      <c r="B30" s="50" t="s">
        <v>59</v>
      </c>
      <c r="C30" s="32">
        <f ca="1">OFFSET(Bewertungen!S24,Bewertungen!$AS$10,0)</f>
        <v>0</v>
      </c>
    </row>
    <row r="31" spans="1:3" ht="26.45">
      <c r="A31" s="76"/>
      <c r="B31" s="51" t="s">
        <v>60</v>
      </c>
      <c r="C31" s="33">
        <f ca="1">OFFSET(Bewertungen!S25,Bewertungen!$AS$10,0)</f>
        <v>0</v>
      </c>
    </row>
    <row r="32" spans="1:3" ht="26.45">
      <c r="A32" s="74" t="s">
        <v>61</v>
      </c>
      <c r="B32" s="49" t="s">
        <v>62</v>
      </c>
      <c r="C32" s="32">
        <f ca="1">OFFSET(Bewertungen!S26,Bewertungen!$AS$10,0)</f>
        <v>0</v>
      </c>
    </row>
    <row r="33" spans="1:3" ht="66">
      <c r="A33" s="75"/>
      <c r="B33" s="50" t="s">
        <v>63</v>
      </c>
      <c r="C33" s="32">
        <f ca="1">OFFSET(Bewertungen!S27,Bewertungen!$AS$10,0)</f>
        <v>0</v>
      </c>
    </row>
    <row r="34" spans="1:3" ht="26.45">
      <c r="A34" s="75"/>
      <c r="B34" s="50" t="s">
        <v>64</v>
      </c>
      <c r="C34" s="32">
        <f ca="1">OFFSET(Bewertungen!S28,Bewertungen!$AS$10,0)</f>
        <v>0</v>
      </c>
    </row>
    <row r="35" spans="1:3">
      <c r="A35" s="75"/>
      <c r="B35" s="50" t="s">
        <v>82</v>
      </c>
      <c r="C35" s="32">
        <f ca="1">OFFSET(Bewertungen!S29,Bewertungen!$AS$10,0)</f>
        <v>0</v>
      </c>
    </row>
    <row r="36" spans="1:3" ht="26.45">
      <c r="A36" s="76"/>
      <c r="B36" s="51" t="s">
        <v>83</v>
      </c>
      <c r="C36" s="33">
        <f ca="1">OFFSET(Bewertungen!S30,Bewertungen!$AS$10,0)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9048E-7EF2-4FFF-A437-81B35C54C079}">
  <dimension ref="A1:C36"/>
  <sheetViews>
    <sheetView view="pageLayout" topLeftCell="A11" zoomScale="82" zoomScaleNormal="80" zoomScalePageLayoutView="82" workbookViewId="0">
      <selection activeCell="C20" sqref="C20"/>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OFFSET(Bewertungen!$T$7,Bewertungen!$AS$10,0)</f>
        <v>0</v>
      </c>
    </row>
    <row r="6" spans="1:3">
      <c r="A6" s="28" t="s">
        <v>72</v>
      </c>
      <c r="B6" s="28">
        <f ca="1">OFFSET(Bewertungen!$T$8,Bewertungen!$AS$10,0)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OFFSET(Bewertungen!$T$32,Bewertungen!$AS$10,0)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OFFSET(Bewertungen!T11,Bewertungen!$AS$10,0)</f>
        <v>0</v>
      </c>
    </row>
    <row r="18" spans="1:3" ht="26.45">
      <c r="A18" s="74" t="s">
        <v>77</v>
      </c>
      <c r="B18" s="49" t="s">
        <v>78</v>
      </c>
      <c r="C18" s="31">
        <f ca="1">OFFSET(Bewertungen!T12,Bewertungen!$AS$10,0)</f>
        <v>0</v>
      </c>
    </row>
    <row r="19" spans="1:3">
      <c r="A19" s="75"/>
      <c r="B19" s="50" t="s">
        <v>79</v>
      </c>
      <c r="C19" s="32">
        <f ca="1">OFFSET(Bewertungen!T13,Bewertungen!$AS$10,0)</f>
        <v>0</v>
      </c>
    </row>
    <row r="20" spans="1:3">
      <c r="A20" s="75"/>
      <c r="B20" s="50" t="s">
        <v>48</v>
      </c>
      <c r="C20" s="32">
        <f ca="1">OFFSET(Bewertungen!T14,Bewertungen!$AS$10,0)</f>
        <v>0</v>
      </c>
    </row>
    <row r="21" spans="1:3" ht="39.6">
      <c r="A21" s="75"/>
      <c r="B21" s="50" t="s">
        <v>49</v>
      </c>
      <c r="C21" s="32">
        <f ca="1">OFFSET(Bewertungen!T15,Bewertungen!$AS$10,0)</f>
        <v>0</v>
      </c>
    </row>
    <row r="22" spans="1:3" ht="26.45">
      <c r="A22" s="75"/>
      <c r="B22" s="50" t="s">
        <v>50</v>
      </c>
      <c r="C22" s="32">
        <f ca="1">OFFSET(Bewertungen!T16,Bewertungen!$AS$10,0)</f>
        <v>0</v>
      </c>
    </row>
    <row r="23" spans="1:3" ht="26.45">
      <c r="A23" s="75"/>
      <c r="B23" s="50" t="s">
        <v>51</v>
      </c>
      <c r="C23" s="32">
        <f ca="1">OFFSET(Bewertungen!T17,Bewertungen!$AS$10,0)</f>
        <v>0</v>
      </c>
    </row>
    <row r="24" spans="1:3" ht="26.45">
      <c r="A24" s="76"/>
      <c r="B24" s="51" t="s">
        <v>52</v>
      </c>
      <c r="C24" s="32">
        <f ca="1">OFFSET(Bewertungen!T18,Bewertungen!$AS$10,0)</f>
        <v>0</v>
      </c>
    </row>
    <row r="25" spans="1:3" ht="26.45">
      <c r="A25" s="74" t="s">
        <v>80</v>
      </c>
      <c r="B25" s="52" t="s">
        <v>54</v>
      </c>
      <c r="C25" s="31">
        <f ca="1">OFFSET(Bewertungen!T19,Bewertungen!$AS$10,0)</f>
        <v>0</v>
      </c>
    </row>
    <row r="26" spans="1:3" ht="26.45">
      <c r="A26" s="75"/>
      <c r="B26" s="50" t="s">
        <v>81</v>
      </c>
      <c r="C26" s="32">
        <f ca="1">OFFSET(Bewertungen!T20,Bewertungen!$AS$10,0)</f>
        <v>0</v>
      </c>
    </row>
    <row r="27" spans="1:3" ht="26.45">
      <c r="A27" s="75"/>
      <c r="B27" s="50" t="s">
        <v>56</v>
      </c>
      <c r="C27" s="32">
        <f ca="1">OFFSET(Bewertungen!T21,Bewertungen!$AS$10,0)</f>
        <v>0</v>
      </c>
    </row>
    <row r="28" spans="1:3" ht="39.6">
      <c r="A28" s="75"/>
      <c r="B28" s="50" t="s">
        <v>57</v>
      </c>
      <c r="C28" s="32">
        <f ca="1">OFFSET(Bewertungen!T22,Bewertungen!$AS$10,0)</f>
        <v>0</v>
      </c>
    </row>
    <row r="29" spans="1:3">
      <c r="A29" s="75"/>
      <c r="B29" s="50" t="s">
        <v>58</v>
      </c>
      <c r="C29" s="32">
        <f ca="1">OFFSET(Bewertungen!T23,Bewertungen!$AS$10,0)</f>
        <v>0</v>
      </c>
    </row>
    <row r="30" spans="1:3" ht="26.45">
      <c r="A30" s="75"/>
      <c r="B30" s="50" t="s">
        <v>59</v>
      </c>
      <c r="C30" s="32">
        <f ca="1">OFFSET(Bewertungen!T24,Bewertungen!$AS$10,0)</f>
        <v>0</v>
      </c>
    </row>
    <row r="31" spans="1:3" ht="26.45">
      <c r="A31" s="76"/>
      <c r="B31" s="51" t="s">
        <v>60</v>
      </c>
      <c r="C31" s="33">
        <f ca="1">OFFSET(Bewertungen!T25,Bewertungen!$AS$10,0)</f>
        <v>0</v>
      </c>
    </row>
    <row r="32" spans="1:3" ht="26.45">
      <c r="A32" s="74" t="s">
        <v>61</v>
      </c>
      <c r="B32" s="49" t="s">
        <v>62</v>
      </c>
      <c r="C32" s="32">
        <f ca="1">OFFSET(Bewertungen!T26,Bewertungen!$AS$10,0)</f>
        <v>0</v>
      </c>
    </row>
    <row r="33" spans="1:3" ht="66">
      <c r="A33" s="75"/>
      <c r="B33" s="50" t="s">
        <v>63</v>
      </c>
      <c r="C33" s="32">
        <f ca="1">OFFSET(Bewertungen!T27,Bewertungen!$AS$10,0)</f>
        <v>0</v>
      </c>
    </row>
    <row r="34" spans="1:3" ht="26.45">
      <c r="A34" s="75"/>
      <c r="B34" s="50" t="s">
        <v>64</v>
      </c>
      <c r="C34" s="32">
        <f ca="1">OFFSET(Bewertungen!T28,Bewertungen!$AS$10,0)</f>
        <v>0</v>
      </c>
    </row>
    <row r="35" spans="1:3">
      <c r="A35" s="75"/>
      <c r="B35" s="50" t="s">
        <v>82</v>
      </c>
      <c r="C35" s="32">
        <f ca="1">OFFSET(Bewertungen!T29,Bewertungen!$AS$10,0)</f>
        <v>0</v>
      </c>
    </row>
    <row r="36" spans="1:3" ht="26.45">
      <c r="A36" s="76"/>
      <c r="B36" s="51" t="s">
        <v>83</v>
      </c>
      <c r="C36" s="33">
        <f ca="1">OFFSET(Bewertungen!T30,Bewertungen!$AS$10,0)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2E6F1-4C2D-4C16-9290-ECF3A34407C9}">
  <dimension ref="A1:C36"/>
  <sheetViews>
    <sheetView view="pageLayout" topLeftCell="A32" zoomScale="82" zoomScaleNormal="80" zoomScalePageLayoutView="82" workbookViewId="0">
      <selection activeCell="C25" sqref="C25:C31"/>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OFFSET(Bewertungen!$U$7,Bewertungen!$AS$10,0)</f>
        <v>0</v>
      </c>
    </row>
    <row r="6" spans="1:3">
      <c r="A6" s="28" t="s">
        <v>72</v>
      </c>
      <c r="B6" s="28">
        <f ca="1">OFFSET(Bewertungen!$U$8,Bewertungen!$AS$10,0)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OFFSET(Bewertungen!$U$32,Bewertungen!$AS$10,0)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OFFSET(Bewertungen!U11,Bewertungen!$AS$10,0)</f>
        <v>0</v>
      </c>
    </row>
    <row r="18" spans="1:3" ht="26.45">
      <c r="A18" s="74" t="s">
        <v>77</v>
      </c>
      <c r="B18" s="49" t="s">
        <v>78</v>
      </c>
      <c r="C18" s="31">
        <f ca="1">OFFSET(Bewertungen!U12,Bewertungen!$AS$10,0)</f>
        <v>0</v>
      </c>
    </row>
    <row r="19" spans="1:3">
      <c r="A19" s="75"/>
      <c r="B19" s="50" t="s">
        <v>79</v>
      </c>
      <c r="C19" s="32">
        <f ca="1">OFFSET(Bewertungen!U13,Bewertungen!$AS$10,0)</f>
        <v>0</v>
      </c>
    </row>
    <row r="20" spans="1:3">
      <c r="A20" s="75"/>
      <c r="B20" s="50" t="s">
        <v>48</v>
      </c>
      <c r="C20" s="32">
        <f ca="1">OFFSET(Bewertungen!U14,Bewertungen!$AS$10,0)</f>
        <v>0</v>
      </c>
    </row>
    <row r="21" spans="1:3" ht="39.6">
      <c r="A21" s="75"/>
      <c r="B21" s="50" t="s">
        <v>49</v>
      </c>
      <c r="C21" s="32">
        <f ca="1">OFFSET(Bewertungen!U15,Bewertungen!$AS$10,0)</f>
        <v>0</v>
      </c>
    </row>
    <row r="22" spans="1:3" ht="26.45">
      <c r="A22" s="75"/>
      <c r="B22" s="50" t="s">
        <v>50</v>
      </c>
      <c r="C22" s="32">
        <f ca="1">OFFSET(Bewertungen!U16,Bewertungen!$AS$10,0)</f>
        <v>0</v>
      </c>
    </row>
    <row r="23" spans="1:3" ht="26.45">
      <c r="A23" s="75"/>
      <c r="B23" s="50" t="s">
        <v>51</v>
      </c>
      <c r="C23" s="32">
        <f ca="1">OFFSET(Bewertungen!U17,Bewertungen!$AS$10,0)</f>
        <v>0</v>
      </c>
    </row>
    <row r="24" spans="1:3" ht="26.45">
      <c r="A24" s="76"/>
      <c r="B24" s="51" t="s">
        <v>52</v>
      </c>
      <c r="C24" s="32">
        <f ca="1">OFFSET(Bewertungen!U18,Bewertungen!$AS$10,0)</f>
        <v>0</v>
      </c>
    </row>
    <row r="25" spans="1:3" ht="26.45">
      <c r="A25" s="74" t="s">
        <v>80</v>
      </c>
      <c r="B25" s="52" t="s">
        <v>54</v>
      </c>
      <c r="C25" s="31">
        <f ca="1">OFFSET(Bewertungen!U19,Bewertungen!$AS$10,0)</f>
        <v>0</v>
      </c>
    </row>
    <row r="26" spans="1:3" ht="26.45">
      <c r="A26" s="75"/>
      <c r="B26" s="50" t="s">
        <v>81</v>
      </c>
      <c r="C26" s="32">
        <f ca="1">OFFSET(Bewertungen!U20,Bewertungen!$AS$10,0)</f>
        <v>0</v>
      </c>
    </row>
    <row r="27" spans="1:3" ht="26.45">
      <c r="A27" s="75"/>
      <c r="B27" s="50" t="s">
        <v>56</v>
      </c>
      <c r="C27" s="32">
        <f ca="1">OFFSET(Bewertungen!U21,Bewertungen!$AS$10,0)</f>
        <v>0</v>
      </c>
    </row>
    <row r="28" spans="1:3" ht="39.6">
      <c r="A28" s="75"/>
      <c r="B28" s="50" t="s">
        <v>57</v>
      </c>
      <c r="C28" s="32">
        <f ca="1">OFFSET(Bewertungen!U22,Bewertungen!$AS$10,0)</f>
        <v>0</v>
      </c>
    </row>
    <row r="29" spans="1:3">
      <c r="A29" s="75"/>
      <c r="B29" s="50" t="s">
        <v>58</v>
      </c>
      <c r="C29" s="32">
        <f ca="1">OFFSET(Bewertungen!U23,Bewertungen!$AS$10,0)</f>
        <v>0</v>
      </c>
    </row>
    <row r="30" spans="1:3" ht="26.45">
      <c r="A30" s="75"/>
      <c r="B30" s="50" t="s">
        <v>59</v>
      </c>
      <c r="C30" s="32">
        <f ca="1">OFFSET(Bewertungen!U24,Bewertungen!$AS$10,0)</f>
        <v>0</v>
      </c>
    </row>
    <row r="31" spans="1:3" ht="26.45">
      <c r="A31" s="76"/>
      <c r="B31" s="51" t="s">
        <v>60</v>
      </c>
      <c r="C31" s="33">
        <f ca="1">OFFSET(Bewertungen!U25,Bewertungen!$AS$10,0)</f>
        <v>0</v>
      </c>
    </row>
    <row r="32" spans="1:3" ht="26.45">
      <c r="A32" s="74" t="s">
        <v>61</v>
      </c>
      <c r="B32" s="49" t="s">
        <v>62</v>
      </c>
      <c r="C32" s="32">
        <f ca="1">OFFSET(Bewertungen!U26,Bewertungen!$AS$10,0)</f>
        <v>0</v>
      </c>
    </row>
    <row r="33" spans="1:3" ht="66">
      <c r="A33" s="75"/>
      <c r="B33" s="50" t="s">
        <v>63</v>
      </c>
      <c r="C33" s="32">
        <f ca="1">OFFSET(Bewertungen!U27,Bewertungen!$AS$10,0)</f>
        <v>0</v>
      </c>
    </row>
    <row r="34" spans="1:3" ht="26.45">
      <c r="A34" s="75"/>
      <c r="B34" s="50" t="s">
        <v>64</v>
      </c>
      <c r="C34" s="32">
        <f ca="1">OFFSET(Bewertungen!U28,Bewertungen!$AS$10,0)</f>
        <v>0</v>
      </c>
    </row>
    <row r="35" spans="1:3">
      <c r="A35" s="75"/>
      <c r="B35" s="50" t="s">
        <v>82</v>
      </c>
      <c r="C35" s="32">
        <f ca="1">OFFSET(Bewertungen!U29,Bewertungen!$AS$10,0)</f>
        <v>0</v>
      </c>
    </row>
    <row r="36" spans="1:3" ht="26.45">
      <c r="A36" s="76"/>
      <c r="B36" s="51" t="s">
        <v>83</v>
      </c>
      <c r="C36" s="33">
        <f ca="1">OFFSET(Bewertungen!U30,Bewertungen!$AS$10,0)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295B0-E5A4-46D4-B23B-0DD9236B895D}">
  <dimension ref="A1:C36"/>
  <sheetViews>
    <sheetView view="pageLayout" zoomScale="82" zoomScaleNormal="80" zoomScalePageLayoutView="82" workbookViewId="0">
      <selection activeCell="B30" sqref="B30"/>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OFFSET(Bewertungen!$V$7,Bewertungen!$AS$10,0)</f>
        <v>0</v>
      </c>
    </row>
    <row r="6" spans="1:3">
      <c r="A6" s="28" t="s">
        <v>72</v>
      </c>
      <c r="B6" s="28">
        <f ca="1">OFFSET(Bewertungen!$V$8,Bewertungen!$AS$10,0)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OFFSET(Bewertungen!$V$32,Bewertungen!$AS$10,0)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OFFSET(Bewertungen!V11,Bewertungen!$AS$10,0)</f>
        <v>0</v>
      </c>
    </row>
    <row r="18" spans="1:3" ht="26.45">
      <c r="A18" s="74" t="s">
        <v>77</v>
      </c>
      <c r="B18" s="49" t="s">
        <v>78</v>
      </c>
      <c r="C18" s="31">
        <f ca="1">OFFSET(Bewertungen!V12,Bewertungen!$AS$10,0)</f>
        <v>0</v>
      </c>
    </row>
    <row r="19" spans="1:3">
      <c r="A19" s="75"/>
      <c r="B19" s="50" t="s">
        <v>79</v>
      </c>
      <c r="C19" s="32">
        <f ca="1">OFFSET(Bewertungen!V13,Bewertungen!$AS$10,0)</f>
        <v>0</v>
      </c>
    </row>
    <row r="20" spans="1:3">
      <c r="A20" s="75"/>
      <c r="B20" s="50" t="s">
        <v>48</v>
      </c>
      <c r="C20" s="32">
        <f ca="1">OFFSET(Bewertungen!V14,Bewertungen!$AS$10,0)</f>
        <v>0</v>
      </c>
    </row>
    <row r="21" spans="1:3" ht="39.6">
      <c r="A21" s="75"/>
      <c r="B21" s="50" t="s">
        <v>49</v>
      </c>
      <c r="C21" s="32">
        <f ca="1">OFFSET(Bewertungen!V15,Bewertungen!$AS$10,0)</f>
        <v>0</v>
      </c>
    </row>
    <row r="22" spans="1:3" ht="26.45">
      <c r="A22" s="75"/>
      <c r="B22" s="50" t="s">
        <v>50</v>
      </c>
      <c r="C22" s="32">
        <f ca="1">OFFSET(Bewertungen!V16,Bewertungen!$AS$10,0)</f>
        <v>0</v>
      </c>
    </row>
    <row r="23" spans="1:3" ht="26.45">
      <c r="A23" s="75"/>
      <c r="B23" s="50" t="s">
        <v>51</v>
      </c>
      <c r="C23" s="32">
        <f ca="1">OFFSET(Bewertungen!V17,Bewertungen!$AS$10,0)</f>
        <v>0</v>
      </c>
    </row>
    <row r="24" spans="1:3" ht="26.45">
      <c r="A24" s="76"/>
      <c r="B24" s="51" t="s">
        <v>52</v>
      </c>
      <c r="C24" s="32">
        <f ca="1">OFFSET(Bewertungen!V18,Bewertungen!$AS$10,0)</f>
        <v>0</v>
      </c>
    </row>
    <row r="25" spans="1:3" ht="26.45">
      <c r="A25" s="74" t="s">
        <v>80</v>
      </c>
      <c r="B25" s="52" t="s">
        <v>54</v>
      </c>
      <c r="C25" s="31">
        <f ca="1">OFFSET(Bewertungen!V19,Bewertungen!$AS$10,0)</f>
        <v>0</v>
      </c>
    </row>
    <row r="26" spans="1:3" ht="26.45">
      <c r="A26" s="75"/>
      <c r="B26" s="50" t="s">
        <v>81</v>
      </c>
      <c r="C26" s="32">
        <f ca="1">OFFSET(Bewertungen!V20,Bewertungen!$AS$10,0)</f>
        <v>0</v>
      </c>
    </row>
    <row r="27" spans="1:3" ht="26.45">
      <c r="A27" s="75"/>
      <c r="B27" s="50" t="s">
        <v>56</v>
      </c>
      <c r="C27" s="32">
        <f ca="1">OFFSET(Bewertungen!V21,Bewertungen!$AS$10,0)</f>
        <v>0</v>
      </c>
    </row>
    <row r="28" spans="1:3" ht="39.6">
      <c r="A28" s="75"/>
      <c r="B28" s="50" t="s">
        <v>57</v>
      </c>
      <c r="C28" s="32">
        <f ca="1">OFFSET(Bewertungen!V22,Bewertungen!$AS$10,0)</f>
        <v>0</v>
      </c>
    </row>
    <row r="29" spans="1:3">
      <c r="A29" s="75"/>
      <c r="B29" s="50" t="s">
        <v>58</v>
      </c>
      <c r="C29" s="32">
        <f ca="1">OFFSET(Bewertungen!V23,Bewertungen!$AS$10,0)</f>
        <v>0</v>
      </c>
    </row>
    <row r="30" spans="1:3" ht="26.45">
      <c r="A30" s="75"/>
      <c r="B30" s="50" t="s">
        <v>59</v>
      </c>
      <c r="C30" s="32">
        <f ca="1">OFFSET(Bewertungen!V24,Bewertungen!$AS$10,0)</f>
        <v>0</v>
      </c>
    </row>
    <row r="31" spans="1:3" ht="26.45">
      <c r="A31" s="76"/>
      <c r="B31" s="51" t="s">
        <v>60</v>
      </c>
      <c r="C31" s="33">
        <f ca="1">OFFSET(Bewertungen!V25,Bewertungen!$AS$10,0)</f>
        <v>0</v>
      </c>
    </row>
    <row r="32" spans="1:3" ht="26.45">
      <c r="A32" s="74" t="s">
        <v>61</v>
      </c>
      <c r="B32" s="49" t="s">
        <v>62</v>
      </c>
      <c r="C32" s="32">
        <f ca="1">OFFSET(Bewertungen!V26,Bewertungen!$AS$10,0)</f>
        <v>0</v>
      </c>
    </row>
    <row r="33" spans="1:3" ht="66">
      <c r="A33" s="75"/>
      <c r="B33" s="50" t="s">
        <v>63</v>
      </c>
      <c r="C33" s="32">
        <f ca="1">OFFSET(Bewertungen!V27,Bewertungen!$AS$10,0)</f>
        <v>0</v>
      </c>
    </row>
    <row r="34" spans="1:3" ht="26.45">
      <c r="A34" s="75"/>
      <c r="B34" s="50" t="s">
        <v>64</v>
      </c>
      <c r="C34" s="32">
        <f ca="1">OFFSET(Bewertungen!V28,Bewertungen!$AS$10,0)</f>
        <v>0</v>
      </c>
    </row>
    <row r="35" spans="1:3">
      <c r="A35" s="75"/>
      <c r="B35" s="50" t="s">
        <v>82</v>
      </c>
      <c r="C35" s="32">
        <f ca="1">OFFSET(Bewertungen!V29,Bewertungen!$AS$10,0)</f>
        <v>0</v>
      </c>
    </row>
    <row r="36" spans="1:3" ht="26.45">
      <c r="A36" s="76"/>
      <c r="B36" s="51" t="s">
        <v>83</v>
      </c>
      <c r="C36" s="33">
        <f ca="1">OFFSET(Bewertungen!V30,Bewertungen!$AS$10,0)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15B07-136A-4B32-87FC-ED7A43E04105}">
  <dimension ref="A1:C36"/>
  <sheetViews>
    <sheetView view="pageLayout" topLeftCell="A26" zoomScale="82" zoomScaleNormal="80" zoomScalePageLayoutView="82" workbookViewId="0">
      <selection activeCell="C29" sqref="C29"/>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OFFSET(Bewertungen!$W$7,Bewertungen!$AS$10,0)</f>
        <v>0</v>
      </c>
    </row>
    <row r="6" spans="1:3">
      <c r="A6" s="28" t="s">
        <v>72</v>
      </c>
      <c r="B6" s="28">
        <f ca="1">OFFSET(Bewertungen!$W$8,Bewertungen!$AS$10,0)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OFFSET(Bewertungen!$W$32,Bewertungen!$AS$10,0)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OFFSET(Bewertungen!W11,Bewertungen!$AS$10,0)</f>
        <v>0</v>
      </c>
    </row>
    <row r="18" spans="1:3" ht="26.45">
      <c r="A18" s="74" t="s">
        <v>77</v>
      </c>
      <c r="B18" s="49" t="s">
        <v>78</v>
      </c>
      <c r="C18" s="31">
        <f ca="1">OFFSET(Bewertungen!W12,Bewertungen!$AS$10,0)</f>
        <v>0</v>
      </c>
    </row>
    <row r="19" spans="1:3">
      <c r="A19" s="75"/>
      <c r="B19" s="50" t="s">
        <v>79</v>
      </c>
      <c r="C19" s="32">
        <f ca="1">OFFSET(Bewertungen!W13,Bewertungen!$AS$10,0)</f>
        <v>0</v>
      </c>
    </row>
    <row r="20" spans="1:3">
      <c r="A20" s="75"/>
      <c r="B20" s="50" t="s">
        <v>48</v>
      </c>
      <c r="C20" s="32">
        <f ca="1">OFFSET(Bewertungen!W14,Bewertungen!$AS$10,0)</f>
        <v>0</v>
      </c>
    </row>
    <row r="21" spans="1:3" ht="39.6">
      <c r="A21" s="75"/>
      <c r="B21" s="50" t="s">
        <v>49</v>
      </c>
      <c r="C21" s="32">
        <f ca="1">OFFSET(Bewertungen!W15,Bewertungen!$AS$10,0)</f>
        <v>0</v>
      </c>
    </row>
    <row r="22" spans="1:3" ht="26.45">
      <c r="A22" s="75"/>
      <c r="B22" s="50" t="s">
        <v>50</v>
      </c>
      <c r="C22" s="32">
        <f ca="1">OFFSET(Bewertungen!W16,Bewertungen!$AS$10,0)</f>
        <v>0</v>
      </c>
    </row>
    <row r="23" spans="1:3" ht="26.45">
      <c r="A23" s="75"/>
      <c r="B23" s="50" t="s">
        <v>51</v>
      </c>
      <c r="C23" s="32">
        <f ca="1">OFFSET(Bewertungen!W17,Bewertungen!$AS$10,0)</f>
        <v>0</v>
      </c>
    </row>
    <row r="24" spans="1:3" ht="26.45">
      <c r="A24" s="76"/>
      <c r="B24" s="51" t="s">
        <v>52</v>
      </c>
      <c r="C24" s="32">
        <f ca="1">OFFSET(Bewertungen!W18,Bewertungen!$AS$10,0)</f>
        <v>0</v>
      </c>
    </row>
    <row r="25" spans="1:3" ht="26.45">
      <c r="A25" s="74" t="s">
        <v>80</v>
      </c>
      <c r="B25" s="52" t="s">
        <v>54</v>
      </c>
      <c r="C25" s="31">
        <f ca="1">OFFSET(Bewertungen!W19,Bewertungen!$AS$10,0)</f>
        <v>0</v>
      </c>
    </row>
    <row r="26" spans="1:3" ht="26.45">
      <c r="A26" s="75"/>
      <c r="B26" s="50" t="s">
        <v>81</v>
      </c>
      <c r="C26" s="32">
        <f ca="1">OFFSET(Bewertungen!W20,Bewertungen!$AS$10,0)</f>
        <v>0</v>
      </c>
    </row>
    <row r="27" spans="1:3" ht="26.45">
      <c r="A27" s="75"/>
      <c r="B27" s="50" t="s">
        <v>56</v>
      </c>
      <c r="C27" s="32">
        <f ca="1">OFFSET(Bewertungen!W21,Bewertungen!$AS$10,0)</f>
        <v>0</v>
      </c>
    </row>
    <row r="28" spans="1:3" ht="39.6">
      <c r="A28" s="75"/>
      <c r="B28" s="50" t="s">
        <v>57</v>
      </c>
      <c r="C28" s="32">
        <f ca="1">OFFSET(Bewertungen!W22,Bewertungen!$AS$10,0)</f>
        <v>0</v>
      </c>
    </row>
    <row r="29" spans="1:3">
      <c r="A29" s="75"/>
      <c r="B29" s="50" t="s">
        <v>58</v>
      </c>
      <c r="C29" s="32">
        <f ca="1">OFFSET(Bewertungen!W23,Bewertungen!$AS$10,0)</f>
        <v>0</v>
      </c>
    </row>
    <row r="30" spans="1:3" ht="26.45">
      <c r="A30" s="75"/>
      <c r="B30" s="50" t="s">
        <v>59</v>
      </c>
      <c r="C30" s="32">
        <f ca="1">OFFSET(Bewertungen!W24,Bewertungen!$AS$10,0)</f>
        <v>0</v>
      </c>
    </row>
    <row r="31" spans="1:3" ht="26.45">
      <c r="A31" s="76"/>
      <c r="B31" s="51" t="s">
        <v>60</v>
      </c>
      <c r="C31" s="33">
        <f ca="1">OFFSET(Bewertungen!W25,Bewertungen!$AS$10,0)</f>
        <v>0</v>
      </c>
    </row>
    <row r="32" spans="1:3" ht="26.45">
      <c r="A32" s="74" t="s">
        <v>61</v>
      </c>
      <c r="B32" s="49" t="s">
        <v>62</v>
      </c>
      <c r="C32" s="32">
        <f ca="1">OFFSET(Bewertungen!W26,Bewertungen!$AS$10,0)</f>
        <v>0</v>
      </c>
    </row>
    <row r="33" spans="1:3" ht="66">
      <c r="A33" s="75"/>
      <c r="B33" s="50" t="s">
        <v>63</v>
      </c>
      <c r="C33" s="32">
        <f ca="1">OFFSET(Bewertungen!W27,Bewertungen!$AS$10,0)</f>
        <v>0</v>
      </c>
    </row>
    <row r="34" spans="1:3" ht="26.45">
      <c r="A34" s="75"/>
      <c r="B34" s="50" t="s">
        <v>64</v>
      </c>
      <c r="C34" s="32">
        <f ca="1">OFFSET(Bewertungen!W28,Bewertungen!$AS$10,0)</f>
        <v>0</v>
      </c>
    </row>
    <row r="35" spans="1:3">
      <c r="A35" s="75"/>
      <c r="B35" s="50" t="s">
        <v>82</v>
      </c>
      <c r="C35" s="32">
        <f ca="1">OFFSET(Bewertungen!W29,Bewertungen!$AS$10,0)</f>
        <v>0</v>
      </c>
    </row>
    <row r="36" spans="1:3" ht="26.45">
      <c r="A36" s="76"/>
      <c r="B36" s="51" t="s">
        <v>83</v>
      </c>
      <c r="C36" s="33">
        <f ca="1">OFFSET(Bewertungen!W30,Bewertungen!$AS$10,0)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8B60F-C06D-4F21-B79C-090CC2B2B6DF}">
  <dimension ref="A1:C36"/>
  <sheetViews>
    <sheetView view="pageLayout" topLeftCell="A29" zoomScale="82" zoomScaleNormal="80" zoomScalePageLayoutView="82" workbookViewId="0">
      <selection activeCell="C36" sqref="C36"/>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OFFSET(Bewertungen!$X$7,Bewertungen!$AS$10,0)</f>
        <v>0</v>
      </c>
    </row>
    <row r="6" spans="1:3">
      <c r="A6" s="28" t="s">
        <v>72</v>
      </c>
      <c r="B6" s="28">
        <f ca="1">OFFSET(Bewertungen!$X$8,Bewertungen!$AS$10,0)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OFFSET(Bewertungen!$X$32,Bewertungen!$AS$10,0)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OFFSET(Bewertungen!X11,Bewertungen!$AS$10,0)</f>
        <v>0</v>
      </c>
    </row>
    <row r="18" spans="1:3" ht="26.45">
      <c r="A18" s="74" t="s">
        <v>77</v>
      </c>
      <c r="B18" s="49" t="s">
        <v>78</v>
      </c>
      <c r="C18" s="31">
        <f ca="1">OFFSET(Bewertungen!X12,Bewertungen!$AS$10,0)</f>
        <v>0</v>
      </c>
    </row>
    <row r="19" spans="1:3">
      <c r="A19" s="75"/>
      <c r="B19" s="50" t="s">
        <v>79</v>
      </c>
      <c r="C19" s="32">
        <f ca="1">OFFSET(Bewertungen!X13,Bewertungen!$AS$10,0)</f>
        <v>0</v>
      </c>
    </row>
    <row r="20" spans="1:3">
      <c r="A20" s="75"/>
      <c r="B20" s="50" t="s">
        <v>48</v>
      </c>
      <c r="C20" s="32">
        <f ca="1">OFFSET(Bewertungen!X14,Bewertungen!$AS$10,0)</f>
        <v>0</v>
      </c>
    </row>
    <row r="21" spans="1:3" ht="39.6">
      <c r="A21" s="75"/>
      <c r="B21" s="50" t="s">
        <v>49</v>
      </c>
      <c r="C21" s="32">
        <f ca="1">OFFSET(Bewertungen!X15,Bewertungen!$AS$10,0)</f>
        <v>0</v>
      </c>
    </row>
    <row r="22" spans="1:3" ht="26.45">
      <c r="A22" s="75"/>
      <c r="B22" s="50" t="s">
        <v>50</v>
      </c>
      <c r="C22" s="32">
        <f ca="1">OFFSET(Bewertungen!X16,Bewertungen!$AS$10,0)</f>
        <v>0</v>
      </c>
    </row>
    <row r="23" spans="1:3" ht="26.45">
      <c r="A23" s="75"/>
      <c r="B23" s="50" t="s">
        <v>51</v>
      </c>
      <c r="C23" s="32">
        <f ca="1">OFFSET(Bewertungen!X17,Bewertungen!$AS$10,0)</f>
        <v>0</v>
      </c>
    </row>
    <row r="24" spans="1:3" ht="26.45">
      <c r="A24" s="76"/>
      <c r="B24" s="51" t="s">
        <v>52</v>
      </c>
      <c r="C24" s="32">
        <f ca="1">OFFSET(Bewertungen!X18,Bewertungen!$AS$10,0)</f>
        <v>0</v>
      </c>
    </row>
    <row r="25" spans="1:3" ht="26.45">
      <c r="A25" s="74" t="s">
        <v>80</v>
      </c>
      <c r="B25" s="52" t="s">
        <v>54</v>
      </c>
      <c r="C25" s="31">
        <f ca="1">OFFSET(Bewertungen!X19,Bewertungen!$AS$10,0)</f>
        <v>0</v>
      </c>
    </row>
    <row r="26" spans="1:3" ht="26.45">
      <c r="A26" s="75"/>
      <c r="B26" s="50" t="s">
        <v>81</v>
      </c>
      <c r="C26" s="32">
        <f ca="1">OFFSET(Bewertungen!X20,Bewertungen!$AS$10,0)</f>
        <v>0</v>
      </c>
    </row>
    <row r="27" spans="1:3" ht="26.45">
      <c r="A27" s="75"/>
      <c r="B27" s="50" t="s">
        <v>56</v>
      </c>
      <c r="C27" s="32">
        <f ca="1">OFFSET(Bewertungen!X21,Bewertungen!$AS$10,0)</f>
        <v>0</v>
      </c>
    </row>
    <row r="28" spans="1:3" ht="39.6">
      <c r="A28" s="75"/>
      <c r="B28" s="50" t="s">
        <v>57</v>
      </c>
      <c r="C28" s="32">
        <f ca="1">OFFSET(Bewertungen!X22,Bewertungen!$AS$10,0)</f>
        <v>0</v>
      </c>
    </row>
    <row r="29" spans="1:3">
      <c r="A29" s="75"/>
      <c r="B29" s="50" t="s">
        <v>58</v>
      </c>
      <c r="C29" s="32">
        <f ca="1">OFFSET(Bewertungen!X23,Bewertungen!$AS$10,0)</f>
        <v>0</v>
      </c>
    </row>
    <row r="30" spans="1:3" ht="26.45">
      <c r="A30" s="75"/>
      <c r="B30" s="50" t="s">
        <v>59</v>
      </c>
      <c r="C30" s="32">
        <f ca="1">OFFSET(Bewertungen!X24,Bewertungen!$AS$10,0)</f>
        <v>0</v>
      </c>
    </row>
    <row r="31" spans="1:3" ht="26.45">
      <c r="A31" s="76"/>
      <c r="B31" s="51" t="s">
        <v>60</v>
      </c>
      <c r="C31" s="33">
        <f ca="1">OFFSET(Bewertungen!X25,Bewertungen!$AS$10,0)</f>
        <v>0</v>
      </c>
    </row>
    <row r="32" spans="1:3" ht="26.45">
      <c r="A32" s="74" t="s">
        <v>61</v>
      </c>
      <c r="B32" s="49" t="s">
        <v>62</v>
      </c>
      <c r="C32" s="32">
        <f ca="1">OFFSET(Bewertungen!X26,Bewertungen!$AS$10,0)</f>
        <v>0</v>
      </c>
    </row>
    <row r="33" spans="1:3" ht="66">
      <c r="A33" s="75"/>
      <c r="B33" s="50" t="s">
        <v>63</v>
      </c>
      <c r="C33" s="32">
        <f ca="1">OFFSET(Bewertungen!X27,Bewertungen!$AS$10,0)</f>
        <v>0</v>
      </c>
    </row>
    <row r="34" spans="1:3" ht="26.45">
      <c r="A34" s="75"/>
      <c r="B34" s="50" t="s">
        <v>64</v>
      </c>
      <c r="C34" s="32">
        <f ca="1">OFFSET(Bewertungen!X28,Bewertungen!$AS$10,0)</f>
        <v>0</v>
      </c>
    </row>
    <row r="35" spans="1:3">
      <c r="A35" s="75"/>
      <c r="B35" s="50" t="s">
        <v>82</v>
      </c>
      <c r="C35" s="32">
        <f ca="1">OFFSET(Bewertungen!X29,Bewertungen!$AS$10,0)</f>
        <v>0</v>
      </c>
    </row>
    <row r="36" spans="1:3" ht="26.45">
      <c r="A36" s="76"/>
      <c r="B36" s="51" t="s">
        <v>83</v>
      </c>
      <c r="C36" s="33">
        <f ca="1">OFFSET(Bewertungen!X30,Bewertungen!$AS$10,0)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4A369-C688-41A7-8FCF-286F1C3375AD}">
  <dimension ref="A1:C36"/>
  <sheetViews>
    <sheetView view="pageLayout" zoomScale="82" zoomScaleNormal="80" zoomScalePageLayoutView="82" workbookViewId="0">
      <selection activeCell="C17" sqref="C17"/>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OFFSET(Bewertungen!$Y$7,Bewertungen!$AS$10,0)</f>
        <v>0</v>
      </c>
    </row>
    <row r="6" spans="1:3">
      <c r="A6" s="28" t="s">
        <v>72</v>
      </c>
      <c r="B6" s="28">
        <f ca="1">OFFSET(Bewertungen!$Y$8,Bewertungen!$AS$10,0)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OFFSET(Bewertungen!$Y$32,Bewertungen!$AS$10,0)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OFFSET(Bewertungen!Y11,Bewertungen!$AS$10,0)</f>
        <v>0</v>
      </c>
    </row>
    <row r="18" spans="1:3" ht="26.45">
      <c r="A18" s="74" t="s">
        <v>77</v>
      </c>
      <c r="B18" s="49" t="s">
        <v>78</v>
      </c>
      <c r="C18" s="31">
        <f ca="1">OFFSET(Bewertungen!Y12,Bewertungen!$AS$10,0)</f>
        <v>0</v>
      </c>
    </row>
    <row r="19" spans="1:3">
      <c r="A19" s="75"/>
      <c r="B19" s="50" t="s">
        <v>79</v>
      </c>
      <c r="C19" s="32">
        <f ca="1">OFFSET(Bewertungen!Y13,Bewertungen!$AS$10,0)</f>
        <v>0</v>
      </c>
    </row>
    <row r="20" spans="1:3">
      <c r="A20" s="75"/>
      <c r="B20" s="50" t="s">
        <v>48</v>
      </c>
      <c r="C20" s="32">
        <f ca="1">OFFSET(Bewertungen!Y14,Bewertungen!$AS$10,0)</f>
        <v>0</v>
      </c>
    </row>
    <row r="21" spans="1:3" ht="39.6">
      <c r="A21" s="75"/>
      <c r="B21" s="50" t="s">
        <v>49</v>
      </c>
      <c r="C21" s="32">
        <f ca="1">OFFSET(Bewertungen!Y15,Bewertungen!$AS$10,0)</f>
        <v>0</v>
      </c>
    </row>
    <row r="22" spans="1:3" ht="26.45">
      <c r="A22" s="75"/>
      <c r="B22" s="50" t="s">
        <v>50</v>
      </c>
      <c r="C22" s="32">
        <f ca="1">OFFSET(Bewertungen!Y16,Bewertungen!$AS$10,0)</f>
        <v>0</v>
      </c>
    </row>
    <row r="23" spans="1:3" ht="26.45">
      <c r="A23" s="75"/>
      <c r="B23" s="50" t="s">
        <v>51</v>
      </c>
      <c r="C23" s="32">
        <f ca="1">OFFSET(Bewertungen!Y17,Bewertungen!$AS$10,0)</f>
        <v>0</v>
      </c>
    </row>
    <row r="24" spans="1:3" ht="26.45">
      <c r="A24" s="76"/>
      <c r="B24" s="51" t="s">
        <v>52</v>
      </c>
      <c r="C24" s="32">
        <f ca="1">OFFSET(Bewertungen!Y18,Bewertungen!$AS$10,0)</f>
        <v>0</v>
      </c>
    </row>
    <row r="25" spans="1:3" ht="26.45">
      <c r="A25" s="74" t="s">
        <v>80</v>
      </c>
      <c r="B25" s="52" t="s">
        <v>54</v>
      </c>
      <c r="C25" s="31">
        <f ca="1">OFFSET(Bewertungen!Y19,Bewertungen!$AS$10,0)</f>
        <v>0</v>
      </c>
    </row>
    <row r="26" spans="1:3" ht="26.45">
      <c r="A26" s="75"/>
      <c r="B26" s="50" t="s">
        <v>81</v>
      </c>
      <c r="C26" s="32">
        <f ca="1">OFFSET(Bewertungen!Y20,Bewertungen!$AS$10,0)</f>
        <v>0</v>
      </c>
    </row>
    <row r="27" spans="1:3" ht="26.45">
      <c r="A27" s="75"/>
      <c r="B27" s="50" t="s">
        <v>56</v>
      </c>
      <c r="C27" s="32">
        <f ca="1">OFFSET(Bewertungen!Y21,Bewertungen!$AS$10,0)</f>
        <v>0</v>
      </c>
    </row>
    <row r="28" spans="1:3" ht="39.6">
      <c r="A28" s="75"/>
      <c r="B28" s="50" t="s">
        <v>57</v>
      </c>
      <c r="C28" s="32">
        <f ca="1">OFFSET(Bewertungen!Y22,Bewertungen!$AS$10,0)</f>
        <v>0</v>
      </c>
    </row>
    <row r="29" spans="1:3">
      <c r="A29" s="75"/>
      <c r="B29" s="50" t="s">
        <v>58</v>
      </c>
      <c r="C29" s="32">
        <f ca="1">OFFSET(Bewertungen!Y23,Bewertungen!$AS$10,0)</f>
        <v>0</v>
      </c>
    </row>
    <row r="30" spans="1:3" ht="26.45">
      <c r="A30" s="75"/>
      <c r="B30" s="50" t="s">
        <v>59</v>
      </c>
      <c r="C30" s="32">
        <f ca="1">OFFSET(Bewertungen!Y24,Bewertungen!$AS$10,0)</f>
        <v>0</v>
      </c>
    </row>
    <row r="31" spans="1:3" ht="26.45">
      <c r="A31" s="76"/>
      <c r="B31" s="51" t="s">
        <v>60</v>
      </c>
      <c r="C31" s="33">
        <f ca="1">OFFSET(Bewertungen!Y25,Bewertungen!$AS$10,0)</f>
        <v>0</v>
      </c>
    </row>
    <row r="32" spans="1:3" ht="26.45">
      <c r="A32" s="74" t="s">
        <v>61</v>
      </c>
      <c r="B32" s="49" t="s">
        <v>62</v>
      </c>
      <c r="C32" s="32">
        <f ca="1">OFFSET(Bewertungen!Y26,Bewertungen!$AS$10,0)</f>
        <v>0</v>
      </c>
    </row>
    <row r="33" spans="1:3" ht="66">
      <c r="A33" s="75"/>
      <c r="B33" s="50" t="s">
        <v>63</v>
      </c>
      <c r="C33" s="32">
        <f ca="1">OFFSET(Bewertungen!Y27,Bewertungen!$AS$10,0)</f>
        <v>0</v>
      </c>
    </row>
    <row r="34" spans="1:3" ht="26.45">
      <c r="A34" s="75"/>
      <c r="B34" s="50" t="s">
        <v>64</v>
      </c>
      <c r="C34" s="32">
        <f ca="1">OFFSET(Bewertungen!Y28,Bewertungen!$AS$10,0)</f>
        <v>0</v>
      </c>
    </row>
    <row r="35" spans="1:3">
      <c r="A35" s="75"/>
      <c r="B35" s="50" t="s">
        <v>82</v>
      </c>
      <c r="C35" s="32">
        <f ca="1">OFFSET(Bewertungen!Y29,Bewertungen!$AS$10,0)</f>
        <v>0</v>
      </c>
    </row>
    <row r="36" spans="1:3" ht="26.45">
      <c r="A36" s="76"/>
      <c r="B36" s="51" t="s">
        <v>83</v>
      </c>
      <c r="C36" s="33">
        <f ca="1">OFFSET(Bewertungen!Y30,Bewertungen!$AS$10,0)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B5AD9-7124-42EF-8129-F70570DB172C}">
  <dimension ref="A1:C36"/>
  <sheetViews>
    <sheetView view="pageLayout" topLeftCell="A26" zoomScale="82" zoomScaleNormal="80" zoomScalePageLayoutView="82" workbookViewId="0">
      <selection activeCell="C34" sqref="C34"/>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OFFSET(Bewertungen!$Z$7,Bewertungen!$AS$10,0)</f>
        <v>0</v>
      </c>
    </row>
    <row r="6" spans="1:3">
      <c r="A6" s="28" t="s">
        <v>72</v>
      </c>
      <c r="B6" s="28">
        <f ca="1">OFFSET(Bewertungen!$Z$8,Bewertungen!$AS$10,0)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OFFSET(Bewertungen!$Y$32,Bewertungen!$AS$10,0)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OFFSET(Bewertungen!Y11,Bewertungen!$AS$10,0)</f>
        <v>0</v>
      </c>
    </row>
    <row r="18" spans="1:3" ht="26.45">
      <c r="A18" s="74" t="s">
        <v>77</v>
      </c>
      <c r="B18" s="49" t="s">
        <v>78</v>
      </c>
      <c r="C18" s="31">
        <f ca="1">OFFSET(Bewertungen!Y12,Bewertungen!$AS$10,0)</f>
        <v>0</v>
      </c>
    </row>
    <row r="19" spans="1:3">
      <c r="A19" s="75"/>
      <c r="B19" s="50" t="s">
        <v>79</v>
      </c>
      <c r="C19" s="32">
        <f ca="1">OFFSET(Bewertungen!Y13,Bewertungen!$AS$10,0)</f>
        <v>0</v>
      </c>
    </row>
    <row r="20" spans="1:3">
      <c r="A20" s="75"/>
      <c r="B20" s="50" t="s">
        <v>48</v>
      </c>
      <c r="C20" s="32">
        <f ca="1">OFFSET(Bewertungen!Y14,Bewertungen!$AS$10,0)</f>
        <v>0</v>
      </c>
    </row>
    <row r="21" spans="1:3" ht="39.6">
      <c r="A21" s="75"/>
      <c r="B21" s="50" t="s">
        <v>49</v>
      </c>
      <c r="C21" s="32">
        <f ca="1">OFFSET(Bewertungen!Y15,Bewertungen!$AS$10,0)</f>
        <v>0</v>
      </c>
    </row>
    <row r="22" spans="1:3" ht="26.45">
      <c r="A22" s="75"/>
      <c r="B22" s="50" t="s">
        <v>50</v>
      </c>
      <c r="C22" s="32">
        <f ca="1">OFFSET(Bewertungen!Y16,Bewertungen!$AS$10,0)</f>
        <v>0</v>
      </c>
    </row>
    <row r="23" spans="1:3" ht="26.45">
      <c r="A23" s="75"/>
      <c r="B23" s="50" t="s">
        <v>51</v>
      </c>
      <c r="C23" s="32">
        <f ca="1">OFFSET(Bewertungen!Y17,Bewertungen!$AS$10,0)</f>
        <v>0</v>
      </c>
    </row>
    <row r="24" spans="1:3" ht="26.45">
      <c r="A24" s="76"/>
      <c r="B24" s="51" t="s">
        <v>52</v>
      </c>
      <c r="C24" s="32">
        <f ca="1">OFFSET(Bewertungen!Y18,Bewertungen!$AS$10,0)</f>
        <v>0</v>
      </c>
    </row>
    <row r="25" spans="1:3" ht="26.45">
      <c r="A25" s="74" t="s">
        <v>80</v>
      </c>
      <c r="B25" s="52" t="s">
        <v>54</v>
      </c>
      <c r="C25" s="31">
        <f ca="1">OFFSET(Bewertungen!Y19,Bewertungen!$AS$10,0)</f>
        <v>0</v>
      </c>
    </row>
    <row r="26" spans="1:3" ht="26.45">
      <c r="A26" s="75"/>
      <c r="B26" s="50" t="s">
        <v>81</v>
      </c>
      <c r="C26" s="32">
        <f ca="1">OFFSET(Bewertungen!Y20,Bewertungen!$AS$10,0)</f>
        <v>0</v>
      </c>
    </row>
    <row r="27" spans="1:3" ht="26.45">
      <c r="A27" s="75"/>
      <c r="B27" s="50" t="s">
        <v>56</v>
      </c>
      <c r="C27" s="32">
        <f ca="1">OFFSET(Bewertungen!Y21,Bewertungen!$AS$10,0)</f>
        <v>0</v>
      </c>
    </row>
    <row r="28" spans="1:3" ht="39.6">
      <c r="A28" s="75"/>
      <c r="B28" s="50" t="s">
        <v>57</v>
      </c>
      <c r="C28" s="32">
        <f ca="1">OFFSET(Bewertungen!Y22,Bewertungen!$AS$10,0)</f>
        <v>0</v>
      </c>
    </row>
    <row r="29" spans="1:3">
      <c r="A29" s="75"/>
      <c r="B29" s="50" t="s">
        <v>58</v>
      </c>
      <c r="C29" s="32">
        <f ca="1">OFFSET(Bewertungen!Y23,Bewertungen!$AS$10,0)</f>
        <v>0</v>
      </c>
    </row>
    <row r="30" spans="1:3" ht="26.45">
      <c r="A30" s="75"/>
      <c r="B30" s="50" t="s">
        <v>59</v>
      </c>
      <c r="C30" s="32">
        <f ca="1">OFFSET(Bewertungen!Y24,Bewertungen!$AS$10,0)</f>
        <v>0</v>
      </c>
    </row>
    <row r="31" spans="1:3" ht="26.45">
      <c r="A31" s="76"/>
      <c r="B31" s="51" t="s">
        <v>60</v>
      </c>
      <c r="C31" s="33">
        <f ca="1">OFFSET(Bewertungen!Y25,Bewertungen!$AS$10,0)</f>
        <v>0</v>
      </c>
    </row>
    <row r="32" spans="1:3" ht="26.45">
      <c r="A32" s="74" t="s">
        <v>61</v>
      </c>
      <c r="B32" s="49" t="s">
        <v>62</v>
      </c>
      <c r="C32" s="32">
        <f ca="1">OFFSET(Bewertungen!Y26,Bewertungen!$AS$10,0)</f>
        <v>0</v>
      </c>
    </row>
    <row r="33" spans="1:3" ht="66">
      <c r="A33" s="75"/>
      <c r="B33" s="50" t="s">
        <v>63</v>
      </c>
      <c r="C33" s="32">
        <f ca="1">OFFSET(Bewertungen!Y27,Bewertungen!$AS$10,0)</f>
        <v>0</v>
      </c>
    </row>
    <row r="34" spans="1:3" ht="26.45">
      <c r="A34" s="75"/>
      <c r="B34" s="50" t="s">
        <v>64</v>
      </c>
      <c r="C34" s="32">
        <f ca="1">OFFSET(Bewertungen!Y28,Bewertungen!$AS$10,0)</f>
        <v>0</v>
      </c>
    </row>
    <row r="35" spans="1:3">
      <c r="A35" s="75"/>
      <c r="B35" s="50" t="s">
        <v>82</v>
      </c>
      <c r="C35" s="32">
        <f ca="1">OFFSET(Bewertungen!Y29,Bewertungen!$AS$10,0)</f>
        <v>0</v>
      </c>
    </row>
    <row r="36" spans="1:3" ht="26.45">
      <c r="A36" s="76"/>
      <c r="B36" s="51" t="s">
        <v>83</v>
      </c>
      <c r="C36" s="33">
        <f ca="1">OFFSET(Bewertungen!Y30,Bewertungen!$AS$10,0)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8D97D-0EA3-459B-998E-FC67D9E6DC3D}">
  <dimension ref="A1:C36"/>
  <sheetViews>
    <sheetView view="pageLayout" topLeftCell="A27" zoomScale="82" zoomScaleNormal="80" zoomScalePageLayoutView="82" workbookViewId="0">
      <selection activeCell="C36" sqref="C36"/>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OFFSET(Bewertungen!$AA$7,Bewertungen!$AS$10,0)</f>
        <v>0</v>
      </c>
    </row>
    <row r="6" spans="1:3">
      <c r="A6" s="28" t="s">
        <v>72</v>
      </c>
      <c r="B6" s="28">
        <f ca="1">OFFSET(Bewertungen!$AA$8,Bewertungen!$AS$10,0)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OFFSET(Bewertungen!$AA$32,Bewertungen!$AS$10,0)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OFFSET(Bewertungen!AA11,Bewertungen!$AS$10,0)</f>
        <v>0</v>
      </c>
    </row>
    <row r="18" spans="1:3" ht="26.45">
      <c r="A18" s="74" t="s">
        <v>77</v>
      </c>
      <c r="B18" s="49" t="s">
        <v>78</v>
      </c>
      <c r="C18" s="31">
        <f ca="1">OFFSET(Bewertungen!AA12,Bewertungen!$AS$10,0)</f>
        <v>0</v>
      </c>
    </row>
    <row r="19" spans="1:3">
      <c r="A19" s="75"/>
      <c r="B19" s="50" t="s">
        <v>79</v>
      </c>
      <c r="C19" s="32">
        <f ca="1">OFFSET(Bewertungen!AA13,Bewertungen!$AS$10,0)</f>
        <v>0</v>
      </c>
    </row>
    <row r="20" spans="1:3">
      <c r="A20" s="75"/>
      <c r="B20" s="50" t="s">
        <v>48</v>
      </c>
      <c r="C20" s="32">
        <f ca="1">OFFSET(Bewertungen!AA14,Bewertungen!$AS$10,0)</f>
        <v>0</v>
      </c>
    </row>
    <row r="21" spans="1:3" ht="39.6">
      <c r="A21" s="75"/>
      <c r="B21" s="50" t="s">
        <v>49</v>
      </c>
      <c r="C21" s="32">
        <f ca="1">OFFSET(Bewertungen!AA15,Bewertungen!$AS$10,0)</f>
        <v>0</v>
      </c>
    </row>
    <row r="22" spans="1:3" ht="26.45">
      <c r="A22" s="75"/>
      <c r="B22" s="50" t="s">
        <v>50</v>
      </c>
      <c r="C22" s="32">
        <f ca="1">OFFSET(Bewertungen!AA16,Bewertungen!$AS$10,0)</f>
        <v>0</v>
      </c>
    </row>
    <row r="23" spans="1:3" ht="26.45">
      <c r="A23" s="75"/>
      <c r="B23" s="50" t="s">
        <v>51</v>
      </c>
      <c r="C23" s="32">
        <f ca="1">OFFSET(Bewertungen!AA17,Bewertungen!$AS$10,0)</f>
        <v>0</v>
      </c>
    </row>
    <row r="24" spans="1:3" ht="26.45">
      <c r="A24" s="76"/>
      <c r="B24" s="51" t="s">
        <v>52</v>
      </c>
      <c r="C24" s="32">
        <f ca="1">OFFSET(Bewertungen!AA18,Bewertungen!$AS$10,0)</f>
        <v>0</v>
      </c>
    </row>
    <row r="25" spans="1:3" ht="26.45">
      <c r="A25" s="74" t="s">
        <v>80</v>
      </c>
      <c r="B25" s="52" t="s">
        <v>54</v>
      </c>
      <c r="C25" s="31">
        <f ca="1">OFFSET(Bewertungen!AA19,Bewertungen!$AS$10,0)</f>
        <v>0</v>
      </c>
    </row>
    <row r="26" spans="1:3" ht="26.45">
      <c r="A26" s="75"/>
      <c r="B26" s="50" t="s">
        <v>81</v>
      </c>
      <c r="C26" s="32">
        <f ca="1">OFFSET(Bewertungen!AA20,Bewertungen!$AS$10,0)</f>
        <v>0</v>
      </c>
    </row>
    <row r="27" spans="1:3" ht="26.45">
      <c r="A27" s="75"/>
      <c r="B27" s="50" t="s">
        <v>56</v>
      </c>
      <c r="C27" s="32">
        <f ca="1">OFFSET(Bewertungen!AA21,Bewertungen!$AS$10,0)</f>
        <v>0</v>
      </c>
    </row>
    <row r="28" spans="1:3" ht="39.6">
      <c r="A28" s="75"/>
      <c r="B28" s="50" t="s">
        <v>57</v>
      </c>
      <c r="C28" s="32">
        <f ca="1">OFFSET(Bewertungen!AA22,Bewertungen!$AS$10,0)</f>
        <v>0</v>
      </c>
    </row>
    <row r="29" spans="1:3">
      <c r="A29" s="75"/>
      <c r="B29" s="50" t="s">
        <v>58</v>
      </c>
      <c r="C29" s="32">
        <f ca="1">OFFSET(Bewertungen!AA23,Bewertungen!$AS$10,0)</f>
        <v>0</v>
      </c>
    </row>
    <row r="30" spans="1:3" ht="26.45">
      <c r="A30" s="75"/>
      <c r="B30" s="50" t="s">
        <v>59</v>
      </c>
      <c r="C30" s="32">
        <f ca="1">OFFSET(Bewertungen!AA24,Bewertungen!$AS$10,0)</f>
        <v>0</v>
      </c>
    </row>
    <row r="31" spans="1:3" ht="26.45">
      <c r="A31" s="76"/>
      <c r="B31" s="51" t="s">
        <v>60</v>
      </c>
      <c r="C31" s="33">
        <f ca="1">OFFSET(Bewertungen!AA25,Bewertungen!$AS$10,0)</f>
        <v>0</v>
      </c>
    </row>
    <row r="32" spans="1:3" ht="26.45">
      <c r="A32" s="74" t="s">
        <v>61</v>
      </c>
      <c r="B32" s="49" t="s">
        <v>62</v>
      </c>
      <c r="C32" s="32">
        <f ca="1">OFFSET(Bewertungen!AA26,Bewertungen!$AS$10,0)</f>
        <v>0</v>
      </c>
    </row>
    <row r="33" spans="1:3" ht="66">
      <c r="A33" s="75"/>
      <c r="B33" s="50" t="s">
        <v>63</v>
      </c>
      <c r="C33" s="32">
        <f ca="1">OFFSET(Bewertungen!AA27,Bewertungen!$AS$10,0)</f>
        <v>0</v>
      </c>
    </row>
    <row r="34" spans="1:3" ht="26.45">
      <c r="A34" s="75"/>
      <c r="B34" s="50" t="s">
        <v>64</v>
      </c>
      <c r="C34" s="32">
        <f ca="1">OFFSET(Bewertungen!AA28,Bewertungen!$AS$10,0)</f>
        <v>0</v>
      </c>
    </row>
    <row r="35" spans="1:3">
      <c r="A35" s="75"/>
      <c r="B35" s="50" t="s">
        <v>82</v>
      </c>
      <c r="C35" s="32">
        <f ca="1">OFFSET(Bewertungen!AA29,Bewertungen!$AS$10,0)</f>
        <v>0</v>
      </c>
    </row>
    <row r="36" spans="1:3" ht="26.45">
      <c r="A36" s="76"/>
      <c r="B36" s="51" t="s">
        <v>83</v>
      </c>
      <c r="C36" s="33">
        <f ca="1">OFFSET(Bewertungen!AA30,Bewertungen!$AS$10,0)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6A32C-A8DA-4B44-A9EE-41C30C1E91FF}">
  <dimension ref="A1:C36"/>
  <sheetViews>
    <sheetView view="pageLayout" zoomScale="82" zoomScaleNormal="80" zoomScalePageLayoutView="82" workbookViewId="0">
      <selection activeCell="C32" sqref="C32"/>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OFFSET(Bewertungen!$AB$7,Bewertungen!$AS$10,0)</f>
        <v>0</v>
      </c>
    </row>
    <row r="6" spans="1:3">
      <c r="A6" s="28" t="s">
        <v>72</v>
      </c>
      <c r="B6" s="28">
        <f ca="1">OFFSET(Bewertungen!$AB$8,Bewertungen!$AS$10,0)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OFFSET(Bewertungen!$AB$32,Bewertungen!$AS$10,0)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OFFSET(Bewertungen!AB11,Bewertungen!$AS$10,0)</f>
        <v>0</v>
      </c>
    </row>
    <row r="18" spans="1:3" ht="26.45">
      <c r="A18" s="74" t="s">
        <v>77</v>
      </c>
      <c r="B18" s="49" t="s">
        <v>78</v>
      </c>
      <c r="C18" s="31">
        <f ca="1">OFFSET(Bewertungen!AB12,Bewertungen!$AS$10,0)</f>
        <v>0</v>
      </c>
    </row>
    <row r="19" spans="1:3">
      <c r="A19" s="75"/>
      <c r="B19" s="50" t="s">
        <v>79</v>
      </c>
      <c r="C19" s="32">
        <f ca="1">OFFSET(Bewertungen!AB13,Bewertungen!$AS$10,0)</f>
        <v>0</v>
      </c>
    </row>
    <row r="20" spans="1:3">
      <c r="A20" s="75"/>
      <c r="B20" s="50" t="s">
        <v>48</v>
      </c>
      <c r="C20" s="32">
        <f ca="1">OFFSET(Bewertungen!AB14,Bewertungen!$AS$10,0)</f>
        <v>0</v>
      </c>
    </row>
    <row r="21" spans="1:3" ht="39.6">
      <c r="A21" s="75"/>
      <c r="B21" s="50" t="s">
        <v>49</v>
      </c>
      <c r="C21" s="32">
        <f ca="1">OFFSET(Bewertungen!AB15,Bewertungen!$AS$10,0)</f>
        <v>0</v>
      </c>
    </row>
    <row r="22" spans="1:3" ht="26.45">
      <c r="A22" s="75"/>
      <c r="B22" s="50" t="s">
        <v>50</v>
      </c>
      <c r="C22" s="32">
        <f ca="1">OFFSET(Bewertungen!AB16,Bewertungen!$AS$10,0)</f>
        <v>0</v>
      </c>
    </row>
    <row r="23" spans="1:3" ht="26.45">
      <c r="A23" s="75"/>
      <c r="B23" s="50" t="s">
        <v>51</v>
      </c>
      <c r="C23" s="32">
        <f ca="1">OFFSET(Bewertungen!AB17,Bewertungen!$AS$10,0)</f>
        <v>0</v>
      </c>
    </row>
    <row r="24" spans="1:3" ht="26.45">
      <c r="A24" s="76"/>
      <c r="B24" s="51" t="s">
        <v>52</v>
      </c>
      <c r="C24" s="32">
        <f ca="1">OFFSET(Bewertungen!AB18,Bewertungen!$AS$10,0)</f>
        <v>0</v>
      </c>
    </row>
    <row r="25" spans="1:3" ht="26.45">
      <c r="A25" s="74" t="s">
        <v>80</v>
      </c>
      <c r="B25" s="52" t="s">
        <v>54</v>
      </c>
      <c r="C25" s="31">
        <f ca="1">OFFSET(Bewertungen!AB19,Bewertungen!$AS$10,0)</f>
        <v>0</v>
      </c>
    </row>
    <row r="26" spans="1:3" ht="26.45">
      <c r="A26" s="75"/>
      <c r="B26" s="50" t="s">
        <v>81</v>
      </c>
      <c r="C26" s="32">
        <f ca="1">OFFSET(Bewertungen!AB20,Bewertungen!$AS$10,0)</f>
        <v>0</v>
      </c>
    </row>
    <row r="27" spans="1:3" ht="26.45">
      <c r="A27" s="75"/>
      <c r="B27" s="50" t="s">
        <v>56</v>
      </c>
      <c r="C27" s="32">
        <f ca="1">OFFSET(Bewertungen!AB21,Bewertungen!$AS$10,0)</f>
        <v>0</v>
      </c>
    </row>
    <row r="28" spans="1:3" ht="39.6">
      <c r="A28" s="75"/>
      <c r="B28" s="50" t="s">
        <v>57</v>
      </c>
      <c r="C28" s="32">
        <f ca="1">OFFSET(Bewertungen!AB22,Bewertungen!$AS$10,0)</f>
        <v>0</v>
      </c>
    </row>
    <row r="29" spans="1:3">
      <c r="A29" s="75"/>
      <c r="B29" s="50" t="s">
        <v>58</v>
      </c>
      <c r="C29" s="32">
        <f ca="1">OFFSET(Bewertungen!AB23,Bewertungen!$AS$10,0)</f>
        <v>0</v>
      </c>
    </row>
    <row r="30" spans="1:3" ht="26.45">
      <c r="A30" s="75"/>
      <c r="B30" s="50" t="s">
        <v>59</v>
      </c>
      <c r="C30" s="32">
        <f ca="1">OFFSET(Bewertungen!AB24,Bewertungen!$AS$10,0)</f>
        <v>0</v>
      </c>
    </row>
    <row r="31" spans="1:3" ht="26.45">
      <c r="A31" s="76"/>
      <c r="B31" s="51" t="s">
        <v>60</v>
      </c>
      <c r="C31" s="33">
        <f ca="1">OFFSET(Bewertungen!AB25,Bewertungen!$AS$10,0)</f>
        <v>0</v>
      </c>
    </row>
    <row r="32" spans="1:3" ht="26.45">
      <c r="A32" s="74" t="s">
        <v>61</v>
      </c>
      <c r="B32" s="49" t="s">
        <v>62</v>
      </c>
      <c r="C32" s="32">
        <f ca="1">OFFSET(Bewertungen!AB26,Bewertungen!$AS$10,0)</f>
        <v>0</v>
      </c>
    </row>
    <row r="33" spans="1:3" ht="66">
      <c r="A33" s="75"/>
      <c r="B33" s="50" t="s">
        <v>63</v>
      </c>
      <c r="C33" s="32">
        <f ca="1">OFFSET(Bewertungen!AB27,Bewertungen!$AS$10,0)</f>
        <v>0</v>
      </c>
    </row>
    <row r="34" spans="1:3" ht="26.45">
      <c r="A34" s="75"/>
      <c r="B34" s="50" t="s">
        <v>64</v>
      </c>
      <c r="C34" s="32">
        <f ca="1">OFFSET(Bewertungen!AB28,Bewertungen!$AS$10,0)</f>
        <v>0</v>
      </c>
    </row>
    <row r="35" spans="1:3">
      <c r="A35" s="75"/>
      <c r="B35" s="50" t="s">
        <v>82</v>
      </c>
      <c r="C35" s="32">
        <f ca="1">OFFSET(Bewertungen!AB29,Bewertungen!$AS$10,0)</f>
        <v>0</v>
      </c>
    </row>
    <row r="36" spans="1:3" ht="26.45">
      <c r="A36" s="76"/>
      <c r="B36" s="51" t="s">
        <v>83</v>
      </c>
      <c r="C36" s="33">
        <f ca="1">OFFSET(Bewertungen!AB30,Bewertungen!$AS$10,0)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40BB-B497-4748-878C-50178A485D4F}">
  <dimension ref="A1:C36"/>
  <sheetViews>
    <sheetView view="pageLayout" topLeftCell="A26" zoomScale="82" zoomScaleNormal="80" zoomScalePageLayoutView="82" workbookViewId="0">
      <selection activeCell="C27" sqref="C27"/>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OFFSET(Bewertungen!$AC$7,Bewertungen!$AS$10,0)</f>
        <v>0</v>
      </c>
    </row>
    <row r="6" spans="1:3">
      <c r="A6" s="28" t="s">
        <v>72</v>
      </c>
      <c r="B6" s="28">
        <f ca="1">OFFSET(Bewertungen!$AC$8,Bewertungen!$AS$10,0)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OFFSET(Bewertungen!$AC$32,Bewertungen!$AS$10,0)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OFFSET(Bewertungen!AC11,Bewertungen!$AS$10,0)</f>
        <v>0</v>
      </c>
    </row>
    <row r="18" spans="1:3" ht="26.45">
      <c r="A18" s="74" t="s">
        <v>77</v>
      </c>
      <c r="B18" s="49" t="s">
        <v>78</v>
      </c>
      <c r="C18" s="31">
        <f ca="1">OFFSET(Bewertungen!AC12,Bewertungen!$AS$10,0)</f>
        <v>0</v>
      </c>
    </row>
    <row r="19" spans="1:3">
      <c r="A19" s="75"/>
      <c r="B19" s="50" t="s">
        <v>79</v>
      </c>
      <c r="C19" s="32">
        <f ca="1">OFFSET(Bewertungen!AC13,Bewertungen!$AS$10,0)</f>
        <v>0</v>
      </c>
    </row>
    <row r="20" spans="1:3">
      <c r="A20" s="75"/>
      <c r="B20" s="50" t="s">
        <v>48</v>
      </c>
      <c r="C20" s="32">
        <f ca="1">OFFSET(Bewertungen!AC14,Bewertungen!$AS$10,0)</f>
        <v>0</v>
      </c>
    </row>
    <row r="21" spans="1:3" ht="39.6">
      <c r="A21" s="75"/>
      <c r="B21" s="50" t="s">
        <v>49</v>
      </c>
      <c r="C21" s="32">
        <f ca="1">OFFSET(Bewertungen!AC15,Bewertungen!$AS$10,0)</f>
        <v>0</v>
      </c>
    </row>
    <row r="22" spans="1:3" ht="26.45">
      <c r="A22" s="75"/>
      <c r="B22" s="50" t="s">
        <v>50</v>
      </c>
      <c r="C22" s="32">
        <f ca="1">OFFSET(Bewertungen!AC16,Bewertungen!$AS$10,0)</f>
        <v>0</v>
      </c>
    </row>
    <row r="23" spans="1:3" ht="26.45">
      <c r="A23" s="75"/>
      <c r="B23" s="50" t="s">
        <v>51</v>
      </c>
      <c r="C23" s="32">
        <f ca="1">OFFSET(Bewertungen!AC17,Bewertungen!$AS$10,0)</f>
        <v>0</v>
      </c>
    </row>
    <row r="24" spans="1:3" ht="26.45">
      <c r="A24" s="76"/>
      <c r="B24" s="51" t="s">
        <v>52</v>
      </c>
      <c r="C24" s="32">
        <f ca="1">OFFSET(Bewertungen!AC18,Bewertungen!$AS$10,0)</f>
        <v>0</v>
      </c>
    </row>
    <row r="25" spans="1:3" ht="26.45">
      <c r="A25" s="74" t="s">
        <v>80</v>
      </c>
      <c r="B25" s="52" t="s">
        <v>54</v>
      </c>
      <c r="C25" s="31">
        <f ca="1">OFFSET(Bewertungen!AC19,Bewertungen!$AS$10,0)</f>
        <v>0</v>
      </c>
    </row>
    <row r="26" spans="1:3" ht="26.45">
      <c r="A26" s="75"/>
      <c r="B26" s="50" t="s">
        <v>81</v>
      </c>
      <c r="C26" s="32">
        <f ca="1">OFFSET(Bewertungen!AC20,Bewertungen!$AS$10,0)</f>
        <v>0</v>
      </c>
    </row>
    <row r="27" spans="1:3" ht="26.45">
      <c r="A27" s="75"/>
      <c r="B27" s="50" t="s">
        <v>56</v>
      </c>
      <c r="C27" s="32">
        <f ca="1">OFFSET(Bewertungen!AC21,Bewertungen!$AS$10,0)</f>
        <v>0</v>
      </c>
    </row>
    <row r="28" spans="1:3" ht="39.6">
      <c r="A28" s="75"/>
      <c r="B28" s="50" t="s">
        <v>57</v>
      </c>
      <c r="C28" s="32">
        <f ca="1">OFFSET(Bewertungen!AC22,Bewertungen!$AS$10,0)</f>
        <v>0</v>
      </c>
    </row>
    <row r="29" spans="1:3">
      <c r="A29" s="75"/>
      <c r="B29" s="50" t="s">
        <v>58</v>
      </c>
      <c r="C29" s="32">
        <f ca="1">OFFSET(Bewertungen!AC23,Bewertungen!$AS$10,0)</f>
        <v>0</v>
      </c>
    </row>
    <row r="30" spans="1:3" ht="26.45">
      <c r="A30" s="75"/>
      <c r="B30" s="50" t="s">
        <v>59</v>
      </c>
      <c r="C30" s="32">
        <f ca="1">OFFSET(Bewertungen!AC24,Bewertungen!$AS$10,0)</f>
        <v>0</v>
      </c>
    </row>
    <row r="31" spans="1:3" ht="26.45">
      <c r="A31" s="76"/>
      <c r="B31" s="51" t="s">
        <v>60</v>
      </c>
      <c r="C31" s="33">
        <f ca="1">OFFSET(Bewertungen!AC25,Bewertungen!$AS$10,0)</f>
        <v>0</v>
      </c>
    </row>
    <row r="32" spans="1:3" ht="26.45">
      <c r="A32" s="74" t="s">
        <v>61</v>
      </c>
      <c r="B32" s="49" t="s">
        <v>62</v>
      </c>
      <c r="C32" s="32">
        <f ca="1">OFFSET(Bewertungen!AC26,Bewertungen!$AS$10,0)</f>
        <v>0</v>
      </c>
    </row>
    <row r="33" spans="1:3" ht="66">
      <c r="A33" s="75"/>
      <c r="B33" s="50" t="s">
        <v>63</v>
      </c>
      <c r="C33" s="32">
        <f ca="1">OFFSET(Bewertungen!AC27,Bewertungen!$AS$10,0)</f>
        <v>0</v>
      </c>
    </row>
    <row r="34" spans="1:3" ht="26.45">
      <c r="A34" s="75"/>
      <c r="B34" s="50" t="s">
        <v>64</v>
      </c>
      <c r="C34" s="32">
        <f ca="1">OFFSET(Bewertungen!AC28,Bewertungen!$AS$10,0)</f>
        <v>0</v>
      </c>
    </row>
    <row r="35" spans="1:3">
      <c r="A35" s="75"/>
      <c r="B35" s="50" t="s">
        <v>82</v>
      </c>
      <c r="C35" s="32">
        <f ca="1">OFFSET(Bewertungen!AC29,Bewertungen!$AS$10,0)</f>
        <v>0</v>
      </c>
    </row>
    <row r="36" spans="1:3" ht="26.45">
      <c r="A36" s="76"/>
      <c r="B36" s="51" t="s">
        <v>83</v>
      </c>
      <c r="C36" s="33">
        <f ca="1">OFFSET(Bewertungen!AC30,Bewertungen!$AS$10,0)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F5116-006A-4101-90E4-916B98D66ECA}">
  <dimension ref="A1:C36"/>
  <sheetViews>
    <sheetView view="pageLayout" topLeftCell="A27" zoomScale="82" zoomScaleNormal="80" zoomScalePageLayoutView="82" workbookViewId="0">
      <selection activeCell="C36" sqref="C36"/>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OFFSET(Bewertungen!$AD$7,Bewertungen!$AS$10,0)</f>
        <v>0</v>
      </c>
    </row>
    <row r="6" spans="1:3">
      <c r="A6" s="28" t="s">
        <v>72</v>
      </c>
      <c r="B6" s="28">
        <f ca="1">OFFSET(Bewertungen!$AD$8,Bewertungen!$AS$10,0)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OFFSET(Bewertungen!$AD$32,Bewertungen!$AS$10,0)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OFFSET(Bewertungen!AD11,Bewertungen!$AS$10,0)</f>
        <v>0</v>
      </c>
    </row>
    <row r="18" spans="1:3" ht="26.45">
      <c r="A18" s="74" t="s">
        <v>77</v>
      </c>
      <c r="B18" s="49" t="s">
        <v>78</v>
      </c>
      <c r="C18" s="31">
        <f ca="1">OFFSET(Bewertungen!AD12,Bewertungen!$AS$10,0)</f>
        <v>0</v>
      </c>
    </row>
    <row r="19" spans="1:3">
      <c r="A19" s="75"/>
      <c r="B19" s="50" t="s">
        <v>79</v>
      </c>
      <c r="C19" s="32">
        <f ca="1">OFFSET(Bewertungen!AD13,Bewertungen!$AS$10,0)</f>
        <v>0</v>
      </c>
    </row>
    <row r="20" spans="1:3">
      <c r="A20" s="75"/>
      <c r="B20" s="50" t="s">
        <v>48</v>
      </c>
      <c r="C20" s="32">
        <f ca="1">OFFSET(Bewertungen!AD14,Bewertungen!$AS$10,0)</f>
        <v>0</v>
      </c>
    </row>
    <row r="21" spans="1:3" ht="39.6">
      <c r="A21" s="75"/>
      <c r="B21" s="50" t="s">
        <v>49</v>
      </c>
      <c r="C21" s="32">
        <f ca="1">OFFSET(Bewertungen!AD15,Bewertungen!$AS$10,0)</f>
        <v>0</v>
      </c>
    </row>
    <row r="22" spans="1:3" ht="26.45">
      <c r="A22" s="75"/>
      <c r="B22" s="50" t="s">
        <v>50</v>
      </c>
      <c r="C22" s="32">
        <f ca="1">OFFSET(Bewertungen!AD16,Bewertungen!$AS$10,0)</f>
        <v>0</v>
      </c>
    </row>
    <row r="23" spans="1:3" ht="26.45">
      <c r="A23" s="75"/>
      <c r="B23" s="50" t="s">
        <v>51</v>
      </c>
      <c r="C23" s="32">
        <f ca="1">OFFSET(Bewertungen!AD17,Bewertungen!$AS$10,0)</f>
        <v>0</v>
      </c>
    </row>
    <row r="24" spans="1:3" ht="26.45">
      <c r="A24" s="76"/>
      <c r="B24" s="51" t="s">
        <v>52</v>
      </c>
      <c r="C24" s="32">
        <f ca="1">OFFSET(Bewertungen!AD18,Bewertungen!$AS$10,0)</f>
        <v>0</v>
      </c>
    </row>
    <row r="25" spans="1:3" ht="26.45">
      <c r="A25" s="74" t="s">
        <v>80</v>
      </c>
      <c r="B25" s="52" t="s">
        <v>54</v>
      </c>
      <c r="C25" s="31">
        <f ca="1">OFFSET(Bewertungen!AD19,Bewertungen!$AS$10,0)</f>
        <v>0</v>
      </c>
    </row>
    <row r="26" spans="1:3" ht="26.45">
      <c r="A26" s="75"/>
      <c r="B26" s="50" t="s">
        <v>81</v>
      </c>
      <c r="C26" s="32">
        <f ca="1">OFFSET(Bewertungen!AD20,Bewertungen!$AS$10,0)</f>
        <v>0</v>
      </c>
    </row>
    <row r="27" spans="1:3" ht="26.45">
      <c r="A27" s="75"/>
      <c r="B27" s="50" t="s">
        <v>56</v>
      </c>
      <c r="C27" s="32">
        <f ca="1">OFFSET(Bewertungen!AD21,Bewertungen!$AS$10,0)</f>
        <v>0</v>
      </c>
    </row>
    <row r="28" spans="1:3" ht="39.6">
      <c r="A28" s="75"/>
      <c r="B28" s="50" t="s">
        <v>57</v>
      </c>
      <c r="C28" s="32">
        <f ca="1">OFFSET(Bewertungen!AD22,Bewertungen!$AS$10,0)</f>
        <v>0</v>
      </c>
    </row>
    <row r="29" spans="1:3">
      <c r="A29" s="75"/>
      <c r="B29" s="50" t="s">
        <v>58</v>
      </c>
      <c r="C29" s="32">
        <f ca="1">OFFSET(Bewertungen!AD23,Bewertungen!$AS$10,0)</f>
        <v>0</v>
      </c>
    </row>
    <row r="30" spans="1:3" ht="26.45">
      <c r="A30" s="75"/>
      <c r="B30" s="50" t="s">
        <v>59</v>
      </c>
      <c r="C30" s="32">
        <f ca="1">OFFSET(Bewertungen!AD24,Bewertungen!$AS$10,0)</f>
        <v>0</v>
      </c>
    </row>
    <row r="31" spans="1:3" ht="26.45">
      <c r="A31" s="76"/>
      <c r="B31" s="51" t="s">
        <v>60</v>
      </c>
      <c r="C31" s="33">
        <f ca="1">OFFSET(Bewertungen!AD25,Bewertungen!$AS$10,0)</f>
        <v>0</v>
      </c>
    </row>
    <row r="32" spans="1:3" ht="26.45">
      <c r="A32" s="74" t="s">
        <v>61</v>
      </c>
      <c r="B32" s="49" t="s">
        <v>62</v>
      </c>
      <c r="C32" s="32">
        <f ca="1">OFFSET(Bewertungen!AD26,Bewertungen!$AS$10,0)</f>
        <v>0</v>
      </c>
    </row>
    <row r="33" spans="1:3" ht="66">
      <c r="A33" s="75"/>
      <c r="B33" s="50" t="s">
        <v>63</v>
      </c>
      <c r="C33" s="32">
        <f ca="1">OFFSET(Bewertungen!AD27,Bewertungen!$AS$10,0)</f>
        <v>0</v>
      </c>
    </row>
    <row r="34" spans="1:3" ht="26.45">
      <c r="A34" s="75"/>
      <c r="B34" s="50" t="s">
        <v>64</v>
      </c>
      <c r="C34" s="32">
        <f ca="1">OFFSET(Bewertungen!AD28,Bewertungen!$AS$10,0)</f>
        <v>0</v>
      </c>
    </row>
    <row r="35" spans="1:3">
      <c r="A35" s="75"/>
      <c r="B35" s="50" t="s">
        <v>82</v>
      </c>
      <c r="C35" s="32">
        <f ca="1">OFFSET(Bewertungen!AD29,Bewertungen!$AS$10,0)</f>
        <v>0</v>
      </c>
    </row>
    <row r="36" spans="1:3" ht="26.45">
      <c r="A36" s="76"/>
      <c r="B36" s="51" t="s">
        <v>83</v>
      </c>
      <c r="C36" s="33">
        <f ca="1">OFFSET(Bewertungen!AD30,Bewertungen!$AS$10,0)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176D3-89D8-4212-9455-B57C42810D66}">
  <dimension ref="A1:C36"/>
  <sheetViews>
    <sheetView view="pageLayout" zoomScale="82" zoomScaleNormal="80" zoomScalePageLayoutView="82" workbookViewId="0">
      <selection activeCell="C28" sqref="C28"/>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OFFSET(Bewertungen!$AE$7,Bewertungen!$AS$10,0)</f>
        <v>0</v>
      </c>
    </row>
    <row r="6" spans="1:3">
      <c r="A6" s="28" t="s">
        <v>72</v>
      </c>
      <c r="B6" s="28">
        <f ca="1">OFFSET(Bewertungen!$AE$8,Bewertungen!$AS$10,0)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OFFSET(Bewertungen!$AE$32,Bewertungen!$AS$10,0)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OFFSET(Bewertungen!AE11,Bewertungen!$AS$10,0)</f>
        <v>0</v>
      </c>
    </row>
    <row r="18" spans="1:3" ht="26.45">
      <c r="A18" s="74" t="s">
        <v>77</v>
      </c>
      <c r="B18" s="49" t="s">
        <v>78</v>
      </c>
      <c r="C18" s="31">
        <f ca="1">OFFSET(Bewertungen!AE12,Bewertungen!$AS$10,0)</f>
        <v>0</v>
      </c>
    </row>
    <row r="19" spans="1:3">
      <c r="A19" s="75"/>
      <c r="B19" s="50" t="s">
        <v>79</v>
      </c>
      <c r="C19" s="32">
        <f ca="1">OFFSET(Bewertungen!AE13,Bewertungen!$AS$10,0)</f>
        <v>0</v>
      </c>
    </row>
    <row r="20" spans="1:3">
      <c r="A20" s="75"/>
      <c r="B20" s="50" t="s">
        <v>48</v>
      </c>
      <c r="C20" s="32">
        <f ca="1">OFFSET(Bewertungen!AE14,Bewertungen!$AS$10,0)</f>
        <v>0</v>
      </c>
    </row>
    <row r="21" spans="1:3" ht="39.6">
      <c r="A21" s="75"/>
      <c r="B21" s="50" t="s">
        <v>49</v>
      </c>
      <c r="C21" s="32">
        <f ca="1">OFFSET(Bewertungen!AE15,Bewertungen!$AS$10,0)</f>
        <v>0</v>
      </c>
    </row>
    <row r="22" spans="1:3" ht="26.45">
      <c r="A22" s="75"/>
      <c r="B22" s="50" t="s">
        <v>50</v>
      </c>
      <c r="C22" s="32">
        <f ca="1">OFFSET(Bewertungen!AE16,Bewertungen!$AS$10,0)</f>
        <v>0</v>
      </c>
    </row>
    <row r="23" spans="1:3" ht="26.45">
      <c r="A23" s="75"/>
      <c r="B23" s="50" t="s">
        <v>51</v>
      </c>
      <c r="C23" s="32">
        <f ca="1">OFFSET(Bewertungen!AE17,Bewertungen!$AS$10,0)</f>
        <v>0</v>
      </c>
    </row>
    <row r="24" spans="1:3" ht="26.45">
      <c r="A24" s="76"/>
      <c r="B24" s="51" t="s">
        <v>52</v>
      </c>
      <c r="C24" s="32">
        <f ca="1">OFFSET(Bewertungen!AE18,Bewertungen!$AS$10,0)</f>
        <v>0</v>
      </c>
    </row>
    <row r="25" spans="1:3" ht="26.45">
      <c r="A25" s="74" t="s">
        <v>80</v>
      </c>
      <c r="B25" s="52" t="s">
        <v>54</v>
      </c>
      <c r="C25" s="31">
        <f ca="1">OFFSET(Bewertungen!AE19,Bewertungen!$AS$10,0)</f>
        <v>0</v>
      </c>
    </row>
    <row r="26" spans="1:3" ht="26.45">
      <c r="A26" s="75"/>
      <c r="B26" s="50" t="s">
        <v>81</v>
      </c>
      <c r="C26" s="32">
        <f ca="1">OFFSET(Bewertungen!AE20,Bewertungen!$AS$10,0)</f>
        <v>0</v>
      </c>
    </row>
    <row r="27" spans="1:3" ht="26.45">
      <c r="A27" s="75"/>
      <c r="B27" s="50" t="s">
        <v>56</v>
      </c>
      <c r="C27" s="32">
        <f ca="1">OFFSET(Bewertungen!AE21,Bewertungen!$AS$10,0)</f>
        <v>0</v>
      </c>
    </row>
    <row r="28" spans="1:3" ht="39.6">
      <c r="A28" s="75"/>
      <c r="B28" s="50" t="s">
        <v>57</v>
      </c>
      <c r="C28" s="32">
        <f ca="1">OFFSET(Bewertungen!AE22,Bewertungen!$AS$10,0)</f>
        <v>0</v>
      </c>
    </row>
    <row r="29" spans="1:3">
      <c r="A29" s="75"/>
      <c r="B29" s="50" t="s">
        <v>58</v>
      </c>
      <c r="C29" s="32">
        <f ca="1">OFFSET(Bewertungen!AE23,Bewertungen!$AS$10,0)</f>
        <v>0</v>
      </c>
    </row>
    <row r="30" spans="1:3" ht="26.45">
      <c r="A30" s="75"/>
      <c r="B30" s="50" t="s">
        <v>59</v>
      </c>
      <c r="C30" s="32">
        <f ca="1">OFFSET(Bewertungen!AE24,Bewertungen!$AS$10,0)</f>
        <v>0</v>
      </c>
    </row>
    <row r="31" spans="1:3" ht="26.45">
      <c r="A31" s="76"/>
      <c r="B31" s="51" t="s">
        <v>60</v>
      </c>
      <c r="C31" s="33">
        <f ca="1">OFFSET(Bewertungen!AE25,Bewertungen!$AS$10,0)</f>
        <v>0</v>
      </c>
    </row>
    <row r="32" spans="1:3" ht="26.45">
      <c r="A32" s="74" t="s">
        <v>61</v>
      </c>
      <c r="B32" s="49" t="s">
        <v>62</v>
      </c>
      <c r="C32" s="32">
        <f ca="1">OFFSET(Bewertungen!AE26,Bewertungen!$AS$10,0)</f>
        <v>0</v>
      </c>
    </row>
    <row r="33" spans="1:3" ht="66">
      <c r="A33" s="75"/>
      <c r="B33" s="50" t="s">
        <v>63</v>
      </c>
      <c r="C33" s="32">
        <f ca="1">OFFSET(Bewertungen!AE27,Bewertungen!$AS$10,0)</f>
        <v>0</v>
      </c>
    </row>
    <row r="34" spans="1:3" ht="26.45">
      <c r="A34" s="75"/>
      <c r="B34" s="50" t="s">
        <v>64</v>
      </c>
      <c r="C34" s="32">
        <f ca="1">OFFSET(Bewertungen!AE28,Bewertungen!$AS$10,0)</f>
        <v>0</v>
      </c>
    </row>
    <row r="35" spans="1:3">
      <c r="A35" s="75"/>
      <c r="B35" s="50" t="s">
        <v>82</v>
      </c>
      <c r="C35" s="32">
        <f ca="1">OFFSET(Bewertungen!AE29,Bewertungen!$AS$10,0)</f>
        <v>0</v>
      </c>
    </row>
    <row r="36" spans="1:3" ht="26.45">
      <c r="A36" s="76"/>
      <c r="B36" s="51" t="s">
        <v>83</v>
      </c>
      <c r="C36" s="33">
        <f ca="1">OFFSET(Bewertungen!AE30,Bewertungen!$AS$10,0)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7AD8C-1C1E-4E68-BA57-5DED9FBBA6AD}">
  <dimension ref="A1:C36"/>
  <sheetViews>
    <sheetView view="pageLayout" topLeftCell="A8" zoomScale="82" zoomScaleNormal="80" zoomScalePageLayoutView="82" workbookViewId="0">
      <selection activeCell="B30" sqref="B30"/>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OFFSET(Bewertungen!$AF$7,Bewertungen!$AS$10,0)</f>
        <v>0</v>
      </c>
    </row>
    <row r="6" spans="1:3">
      <c r="A6" s="28" t="s">
        <v>72</v>
      </c>
      <c r="B6" s="28">
        <f ca="1">OFFSET(Bewertungen!$AF$8,Bewertungen!$AS$10,0)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OFFSET(Bewertungen!$AF$32,Bewertungen!$AS$10,0)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OFFSET(Bewertungen!AF11,Bewertungen!$AS$10,0)</f>
        <v>0</v>
      </c>
    </row>
    <row r="18" spans="1:3" ht="26.45">
      <c r="A18" s="74" t="s">
        <v>77</v>
      </c>
      <c r="B18" s="49" t="s">
        <v>78</v>
      </c>
      <c r="C18" s="31">
        <f ca="1">OFFSET(Bewertungen!AF12,Bewertungen!$AS$10,0)</f>
        <v>0</v>
      </c>
    </row>
    <row r="19" spans="1:3">
      <c r="A19" s="75"/>
      <c r="B19" s="50" t="s">
        <v>79</v>
      </c>
      <c r="C19" s="32">
        <f ca="1">OFFSET(Bewertungen!AF13,Bewertungen!$AS$10,0)</f>
        <v>0</v>
      </c>
    </row>
    <row r="20" spans="1:3">
      <c r="A20" s="75"/>
      <c r="B20" s="50" t="s">
        <v>48</v>
      </c>
      <c r="C20" s="32">
        <f ca="1">OFFSET(Bewertungen!AF14,Bewertungen!$AS$10,0)</f>
        <v>0</v>
      </c>
    </row>
    <row r="21" spans="1:3" ht="39.6">
      <c r="A21" s="75"/>
      <c r="B21" s="50" t="s">
        <v>49</v>
      </c>
      <c r="C21" s="32">
        <f ca="1">OFFSET(Bewertungen!AF15,Bewertungen!$AS$10,0)</f>
        <v>0</v>
      </c>
    </row>
    <row r="22" spans="1:3" ht="26.45">
      <c r="A22" s="75"/>
      <c r="B22" s="50" t="s">
        <v>50</v>
      </c>
      <c r="C22" s="32">
        <f ca="1">OFFSET(Bewertungen!AF16,Bewertungen!$AS$10,0)</f>
        <v>0</v>
      </c>
    </row>
    <row r="23" spans="1:3" ht="26.45">
      <c r="A23" s="75"/>
      <c r="B23" s="50" t="s">
        <v>51</v>
      </c>
      <c r="C23" s="32">
        <f ca="1">OFFSET(Bewertungen!AF17,Bewertungen!$AS$10,0)</f>
        <v>0</v>
      </c>
    </row>
    <row r="24" spans="1:3" ht="26.45">
      <c r="A24" s="76"/>
      <c r="B24" s="51" t="s">
        <v>52</v>
      </c>
      <c r="C24" s="32">
        <f ca="1">OFFSET(Bewertungen!AF18,Bewertungen!$AS$10,0)</f>
        <v>0</v>
      </c>
    </row>
    <row r="25" spans="1:3" ht="26.45">
      <c r="A25" s="74" t="s">
        <v>80</v>
      </c>
      <c r="B25" s="52" t="s">
        <v>54</v>
      </c>
      <c r="C25" s="31">
        <f ca="1">OFFSET(Bewertungen!AF19,Bewertungen!$AS$10,0)</f>
        <v>0</v>
      </c>
    </row>
    <row r="26" spans="1:3" ht="26.45">
      <c r="A26" s="75"/>
      <c r="B26" s="50" t="s">
        <v>81</v>
      </c>
      <c r="C26" s="32">
        <f ca="1">OFFSET(Bewertungen!AF20,Bewertungen!$AS$10,0)</f>
        <v>0</v>
      </c>
    </row>
    <row r="27" spans="1:3" ht="26.45">
      <c r="A27" s="75"/>
      <c r="B27" s="50" t="s">
        <v>56</v>
      </c>
      <c r="C27" s="32">
        <f ca="1">OFFSET(Bewertungen!AF21,Bewertungen!$AS$10,0)</f>
        <v>0</v>
      </c>
    </row>
    <row r="28" spans="1:3" ht="39.6">
      <c r="A28" s="75"/>
      <c r="B28" s="50" t="s">
        <v>57</v>
      </c>
      <c r="C28" s="32">
        <f ca="1">OFFSET(Bewertungen!AF22,Bewertungen!$AS$10,0)</f>
        <v>0</v>
      </c>
    </row>
    <row r="29" spans="1:3">
      <c r="A29" s="75"/>
      <c r="B29" s="50" t="s">
        <v>58</v>
      </c>
      <c r="C29" s="32">
        <f ca="1">OFFSET(Bewertungen!AF23,Bewertungen!$AS$10,0)</f>
        <v>0</v>
      </c>
    </row>
    <row r="30" spans="1:3" ht="26.45">
      <c r="A30" s="75"/>
      <c r="B30" s="50" t="s">
        <v>59</v>
      </c>
      <c r="C30" s="32">
        <f ca="1">OFFSET(Bewertungen!AF24,Bewertungen!$AS$10,0)</f>
        <v>0</v>
      </c>
    </row>
    <row r="31" spans="1:3" ht="26.45">
      <c r="A31" s="76"/>
      <c r="B31" s="51" t="s">
        <v>60</v>
      </c>
      <c r="C31" s="33">
        <f ca="1">OFFSET(Bewertungen!AF25,Bewertungen!$AS$10,0)</f>
        <v>0</v>
      </c>
    </row>
    <row r="32" spans="1:3" ht="26.45">
      <c r="A32" s="74" t="s">
        <v>61</v>
      </c>
      <c r="B32" s="49" t="s">
        <v>62</v>
      </c>
      <c r="C32" s="32">
        <f ca="1">OFFSET(Bewertungen!AF26,Bewertungen!$AS$10,0)</f>
        <v>0</v>
      </c>
    </row>
    <row r="33" spans="1:3" ht="66">
      <c r="A33" s="75"/>
      <c r="B33" s="50" t="s">
        <v>63</v>
      </c>
      <c r="C33" s="32">
        <f ca="1">OFFSET(Bewertungen!AF27,Bewertungen!$AS$10,0)</f>
        <v>0</v>
      </c>
    </row>
    <row r="34" spans="1:3" ht="26.45">
      <c r="A34" s="75"/>
      <c r="B34" s="50" t="s">
        <v>64</v>
      </c>
      <c r="C34" s="32">
        <f ca="1">OFFSET(Bewertungen!AF28,Bewertungen!$AS$10,0)</f>
        <v>0</v>
      </c>
    </row>
    <row r="35" spans="1:3">
      <c r="A35" s="75"/>
      <c r="B35" s="50" t="s">
        <v>82</v>
      </c>
      <c r="C35" s="32">
        <f ca="1">OFFSET(Bewertungen!AF29,Bewertungen!$AS$10,0)</f>
        <v>0</v>
      </c>
    </row>
    <row r="36" spans="1:3" ht="26.45">
      <c r="A36" s="76"/>
      <c r="B36" s="51" t="s">
        <v>83</v>
      </c>
      <c r="C36" s="33">
        <f ca="1">OFFSET(Bewertungen!AF30,Bewertungen!$AS$10,0)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F1984-9399-41B9-8A2A-08B371A5A840}">
  <dimension ref="A1:C36"/>
  <sheetViews>
    <sheetView view="pageLayout" topLeftCell="A7" zoomScale="82" zoomScaleNormal="80" zoomScalePageLayoutView="82" workbookViewId="0">
      <selection activeCell="B24" sqref="B24"/>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OFFSET(Bewertungen!$AG$7,Bewertungen!$AS$10,0)</f>
        <v>0</v>
      </c>
    </row>
    <row r="6" spans="1:3">
      <c r="A6" s="28" t="s">
        <v>72</v>
      </c>
      <c r="B6" s="28">
        <f ca="1">OFFSET(Bewertungen!$AG$8,Bewertungen!$AS$10,0)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OFFSET(Bewertungen!$AG$32,Bewertungen!$AS$10,0)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OFFSET(Bewertungen!AG11,Bewertungen!$AS$10,0)</f>
        <v>0</v>
      </c>
    </row>
    <row r="18" spans="1:3" ht="26.45">
      <c r="A18" s="74" t="s">
        <v>77</v>
      </c>
      <c r="B18" s="49" t="s">
        <v>78</v>
      </c>
      <c r="C18" s="31">
        <f ca="1">OFFSET(Bewertungen!AG12,Bewertungen!$AS$10,0)</f>
        <v>0</v>
      </c>
    </row>
    <row r="19" spans="1:3">
      <c r="A19" s="75"/>
      <c r="B19" s="50" t="s">
        <v>79</v>
      </c>
      <c r="C19" s="32">
        <f ca="1">OFFSET(Bewertungen!AG13,Bewertungen!$AS$10,0)</f>
        <v>0</v>
      </c>
    </row>
    <row r="20" spans="1:3">
      <c r="A20" s="75"/>
      <c r="B20" s="50" t="s">
        <v>48</v>
      </c>
      <c r="C20" s="32">
        <f ca="1">OFFSET(Bewertungen!AG14,Bewertungen!$AS$10,0)</f>
        <v>0</v>
      </c>
    </row>
    <row r="21" spans="1:3" ht="39.6">
      <c r="A21" s="75"/>
      <c r="B21" s="50" t="s">
        <v>49</v>
      </c>
      <c r="C21" s="32">
        <f ca="1">OFFSET(Bewertungen!AG15,Bewertungen!$AS$10,0)</f>
        <v>0</v>
      </c>
    </row>
    <row r="22" spans="1:3" ht="26.45">
      <c r="A22" s="75"/>
      <c r="B22" s="50" t="s">
        <v>50</v>
      </c>
      <c r="C22" s="32">
        <f ca="1">OFFSET(Bewertungen!AG16,Bewertungen!$AS$10,0)</f>
        <v>0</v>
      </c>
    </row>
    <row r="23" spans="1:3" ht="26.45">
      <c r="A23" s="75"/>
      <c r="B23" s="50" t="s">
        <v>51</v>
      </c>
      <c r="C23" s="32">
        <f ca="1">OFFSET(Bewertungen!AG17,Bewertungen!$AS$10,0)</f>
        <v>0</v>
      </c>
    </row>
    <row r="24" spans="1:3" ht="26.45">
      <c r="A24" s="76"/>
      <c r="B24" s="51" t="s">
        <v>52</v>
      </c>
      <c r="C24" s="32">
        <f ca="1">OFFSET(Bewertungen!AG18,Bewertungen!$AS$10,0)</f>
        <v>0</v>
      </c>
    </row>
    <row r="25" spans="1:3" ht="26.45">
      <c r="A25" s="74" t="s">
        <v>80</v>
      </c>
      <c r="B25" s="52" t="s">
        <v>54</v>
      </c>
      <c r="C25" s="31">
        <f ca="1">OFFSET(Bewertungen!AG19,Bewertungen!$AS$10,0)</f>
        <v>0</v>
      </c>
    </row>
    <row r="26" spans="1:3" ht="26.45">
      <c r="A26" s="75"/>
      <c r="B26" s="50" t="s">
        <v>81</v>
      </c>
      <c r="C26" s="32">
        <f ca="1">OFFSET(Bewertungen!AG20,Bewertungen!$AS$10,0)</f>
        <v>0</v>
      </c>
    </row>
    <row r="27" spans="1:3" ht="26.45">
      <c r="A27" s="75"/>
      <c r="B27" s="50" t="s">
        <v>56</v>
      </c>
      <c r="C27" s="32">
        <f ca="1">OFFSET(Bewertungen!AG21,Bewertungen!$AS$10,0)</f>
        <v>0</v>
      </c>
    </row>
    <row r="28" spans="1:3" ht="39.6">
      <c r="A28" s="75"/>
      <c r="B28" s="50" t="s">
        <v>57</v>
      </c>
      <c r="C28" s="32">
        <f ca="1">OFFSET(Bewertungen!AG22,Bewertungen!$AS$10,0)</f>
        <v>0</v>
      </c>
    </row>
    <row r="29" spans="1:3">
      <c r="A29" s="75"/>
      <c r="B29" s="50" t="s">
        <v>58</v>
      </c>
      <c r="C29" s="32">
        <f ca="1">OFFSET(Bewertungen!AG23,Bewertungen!$AS$10,0)</f>
        <v>0</v>
      </c>
    </row>
    <row r="30" spans="1:3" ht="26.45">
      <c r="A30" s="75"/>
      <c r="B30" s="50" t="s">
        <v>59</v>
      </c>
      <c r="C30" s="32">
        <f ca="1">OFFSET(Bewertungen!AG24,Bewertungen!$AS$10,0)</f>
        <v>0</v>
      </c>
    </row>
    <row r="31" spans="1:3" ht="26.45">
      <c r="A31" s="76"/>
      <c r="B31" s="51" t="s">
        <v>60</v>
      </c>
      <c r="C31" s="33">
        <f ca="1">OFFSET(Bewertungen!AG25,Bewertungen!$AS$10,0)</f>
        <v>0</v>
      </c>
    </row>
    <row r="32" spans="1:3" ht="26.45">
      <c r="A32" s="74" t="s">
        <v>61</v>
      </c>
      <c r="B32" s="49" t="s">
        <v>62</v>
      </c>
      <c r="C32" s="32">
        <f ca="1">OFFSET(Bewertungen!AG26,Bewertungen!$AS$10,0)</f>
        <v>0</v>
      </c>
    </row>
    <row r="33" spans="1:3" ht="66">
      <c r="A33" s="75"/>
      <c r="B33" s="50" t="s">
        <v>63</v>
      </c>
      <c r="C33" s="32">
        <f ca="1">OFFSET(Bewertungen!AG27,Bewertungen!$AS$10,0)</f>
        <v>0</v>
      </c>
    </row>
    <row r="34" spans="1:3" ht="26.45">
      <c r="A34" s="75"/>
      <c r="B34" s="50" t="s">
        <v>64</v>
      </c>
      <c r="C34" s="32">
        <f ca="1">OFFSET(Bewertungen!AG28,Bewertungen!$AS$10,0)</f>
        <v>0</v>
      </c>
    </row>
    <row r="35" spans="1:3">
      <c r="A35" s="75"/>
      <c r="B35" s="50" t="s">
        <v>82</v>
      </c>
      <c r="C35" s="32">
        <f ca="1">OFFSET(Bewertungen!AG29,Bewertungen!$AS$10,0)</f>
        <v>0</v>
      </c>
    </row>
    <row r="36" spans="1:3" ht="26.45">
      <c r="A36" s="76"/>
      <c r="B36" s="51" t="s">
        <v>83</v>
      </c>
      <c r="C36" s="33">
        <f ca="1">OFFSET(Bewertungen!AG30,Bewertungen!$AS$10,0)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CFEE5-F9FD-4A0A-8E35-339FF601BF94}">
  <dimension ref="A1:C36"/>
  <sheetViews>
    <sheetView view="pageLayout" topLeftCell="A10" zoomScale="82" zoomScaleNormal="80" zoomScalePageLayoutView="82" workbookViewId="0">
      <selection activeCell="B31" sqref="B31"/>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OFFSET(Bewertungen!$AH$7,Bewertungen!$AS$10,0)</f>
        <v>0</v>
      </c>
    </row>
    <row r="6" spans="1:3">
      <c r="A6" s="28" t="s">
        <v>72</v>
      </c>
      <c r="B6" s="28">
        <f ca="1">OFFSET(Bewertungen!$AH$8,Bewertungen!$AS$10,0)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OFFSET(Bewertungen!$AH$32,Bewertungen!$AS$10,0)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OFFSET(Bewertungen!AH11,Bewertungen!$AS$10,0)</f>
        <v>0</v>
      </c>
    </row>
    <row r="18" spans="1:3" ht="26.45">
      <c r="A18" s="74" t="s">
        <v>77</v>
      </c>
      <c r="B18" s="49" t="s">
        <v>78</v>
      </c>
      <c r="C18" s="31">
        <f ca="1">OFFSET(Bewertungen!AH12,Bewertungen!$AS$10,0)</f>
        <v>0</v>
      </c>
    </row>
    <row r="19" spans="1:3">
      <c r="A19" s="75"/>
      <c r="B19" s="50" t="s">
        <v>79</v>
      </c>
      <c r="C19" s="32">
        <f ca="1">OFFSET(Bewertungen!AH13,Bewertungen!$AS$10,0)</f>
        <v>0</v>
      </c>
    </row>
    <row r="20" spans="1:3">
      <c r="A20" s="75"/>
      <c r="B20" s="50" t="s">
        <v>48</v>
      </c>
      <c r="C20" s="32">
        <f ca="1">OFFSET(Bewertungen!AH14,Bewertungen!$AS$10,0)</f>
        <v>0</v>
      </c>
    </row>
    <row r="21" spans="1:3" ht="39.6">
      <c r="A21" s="75"/>
      <c r="B21" s="50" t="s">
        <v>49</v>
      </c>
      <c r="C21" s="32">
        <f ca="1">OFFSET(Bewertungen!AH15,Bewertungen!$AS$10,0)</f>
        <v>0</v>
      </c>
    </row>
    <row r="22" spans="1:3" ht="26.45">
      <c r="A22" s="75"/>
      <c r="B22" s="50" t="s">
        <v>50</v>
      </c>
      <c r="C22" s="32">
        <f ca="1">OFFSET(Bewertungen!AH16,Bewertungen!$AS$10,0)</f>
        <v>0</v>
      </c>
    </row>
    <row r="23" spans="1:3" ht="26.45">
      <c r="A23" s="75"/>
      <c r="B23" s="50" t="s">
        <v>51</v>
      </c>
      <c r="C23" s="32">
        <f ca="1">OFFSET(Bewertungen!AH17,Bewertungen!$AS$10,0)</f>
        <v>0</v>
      </c>
    </row>
    <row r="24" spans="1:3" ht="26.45">
      <c r="A24" s="76"/>
      <c r="B24" s="51" t="s">
        <v>52</v>
      </c>
      <c r="C24" s="32">
        <f ca="1">OFFSET(Bewertungen!AH18,Bewertungen!$AS$10,0)</f>
        <v>0</v>
      </c>
    </row>
    <row r="25" spans="1:3" ht="26.45">
      <c r="A25" s="74" t="s">
        <v>80</v>
      </c>
      <c r="B25" s="52" t="s">
        <v>54</v>
      </c>
      <c r="C25" s="31">
        <f ca="1">OFFSET(Bewertungen!AH19,Bewertungen!$AS$10,0)</f>
        <v>0</v>
      </c>
    </row>
    <row r="26" spans="1:3" ht="26.45">
      <c r="A26" s="75"/>
      <c r="B26" s="50" t="s">
        <v>81</v>
      </c>
      <c r="C26" s="32">
        <f ca="1">OFFSET(Bewertungen!AH20,Bewertungen!$AS$10,0)</f>
        <v>0</v>
      </c>
    </row>
    <row r="27" spans="1:3" ht="26.45">
      <c r="A27" s="75"/>
      <c r="B27" s="50" t="s">
        <v>56</v>
      </c>
      <c r="C27" s="32">
        <f ca="1">OFFSET(Bewertungen!AH21,Bewertungen!$AS$10,0)</f>
        <v>0</v>
      </c>
    </row>
    <row r="28" spans="1:3" ht="39.6">
      <c r="A28" s="75"/>
      <c r="B28" s="50" t="s">
        <v>57</v>
      </c>
      <c r="C28" s="32">
        <f ca="1">OFFSET(Bewertungen!AH22,Bewertungen!$AS$10,0)</f>
        <v>0</v>
      </c>
    </row>
    <row r="29" spans="1:3">
      <c r="A29" s="75"/>
      <c r="B29" s="50" t="s">
        <v>58</v>
      </c>
      <c r="C29" s="32">
        <f ca="1">OFFSET(Bewertungen!AH23,Bewertungen!$AS$10,0)</f>
        <v>0</v>
      </c>
    </row>
    <row r="30" spans="1:3" ht="26.45">
      <c r="A30" s="75"/>
      <c r="B30" s="50" t="s">
        <v>59</v>
      </c>
      <c r="C30" s="32">
        <f ca="1">OFFSET(Bewertungen!AH24,Bewertungen!$AS$10,0)</f>
        <v>0</v>
      </c>
    </row>
    <row r="31" spans="1:3" ht="26.45">
      <c r="A31" s="76"/>
      <c r="B31" s="51" t="s">
        <v>60</v>
      </c>
      <c r="C31" s="33">
        <f ca="1">OFFSET(Bewertungen!AH25,Bewertungen!$AS$10,0)</f>
        <v>0</v>
      </c>
    </row>
    <row r="32" spans="1:3" ht="26.45">
      <c r="A32" s="74" t="s">
        <v>61</v>
      </c>
      <c r="B32" s="49" t="s">
        <v>62</v>
      </c>
      <c r="C32" s="32">
        <f ca="1">OFFSET(Bewertungen!AH26,Bewertungen!$AS$10,0)</f>
        <v>0</v>
      </c>
    </row>
    <row r="33" spans="1:3" ht="66">
      <c r="A33" s="75"/>
      <c r="B33" s="50" t="s">
        <v>63</v>
      </c>
      <c r="C33" s="32">
        <f ca="1">OFFSET(Bewertungen!AH27,Bewertungen!$AS$10,0)</f>
        <v>0</v>
      </c>
    </row>
    <row r="34" spans="1:3" ht="26.45">
      <c r="A34" s="75"/>
      <c r="B34" s="50" t="s">
        <v>64</v>
      </c>
      <c r="C34" s="32">
        <f ca="1">OFFSET(Bewertungen!AH28,Bewertungen!$AS$10,0)</f>
        <v>0</v>
      </c>
    </row>
    <row r="35" spans="1:3">
      <c r="A35" s="75"/>
      <c r="B35" s="50" t="s">
        <v>82</v>
      </c>
      <c r="C35" s="32">
        <f ca="1">OFFSET(Bewertungen!AH29,Bewertungen!$AS$10,0)</f>
        <v>0</v>
      </c>
    </row>
    <row r="36" spans="1:3" ht="26.45">
      <c r="A36" s="76"/>
      <c r="B36" s="51" t="s">
        <v>83</v>
      </c>
      <c r="C36" s="33">
        <f ca="1">OFFSET(Bewertungen!AH30,Bewertungen!$AS$10,0)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A3A98-16BD-4A8B-843A-88E2F222B193}">
  <dimension ref="A1:C36"/>
  <sheetViews>
    <sheetView view="pageLayout" topLeftCell="A10" zoomScale="82" zoomScaleNormal="80" zoomScalePageLayoutView="82" workbookViewId="0">
      <selection activeCell="B30" sqref="B30"/>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OFFSET(Bewertungen!$AI$7,Bewertungen!$AS$10,0)</f>
        <v>0</v>
      </c>
    </row>
    <row r="6" spans="1:3">
      <c r="A6" s="28" t="s">
        <v>72</v>
      </c>
      <c r="B6" s="28">
        <f ca="1">OFFSET(Bewertungen!$AI$8,Bewertungen!$AS$10,0)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OFFSET(Bewertungen!$AI$32,Bewertungen!$AS$10,0)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OFFSET(Bewertungen!AI11,Bewertungen!$AS$10,0)</f>
        <v>0</v>
      </c>
    </row>
    <row r="18" spans="1:3" ht="26.45">
      <c r="A18" s="74" t="s">
        <v>77</v>
      </c>
      <c r="B18" s="49" t="s">
        <v>78</v>
      </c>
      <c r="C18" s="31">
        <f ca="1">OFFSET(Bewertungen!AI12,Bewertungen!$AS$10,0)</f>
        <v>0</v>
      </c>
    </row>
    <row r="19" spans="1:3">
      <c r="A19" s="75"/>
      <c r="B19" s="50" t="s">
        <v>79</v>
      </c>
      <c r="C19" s="32">
        <f ca="1">OFFSET(Bewertungen!AI13,Bewertungen!$AS$10,0)</f>
        <v>0</v>
      </c>
    </row>
    <row r="20" spans="1:3">
      <c r="A20" s="75"/>
      <c r="B20" s="50" t="s">
        <v>48</v>
      </c>
      <c r="C20" s="32">
        <f ca="1">OFFSET(Bewertungen!AI14,Bewertungen!$AS$10,0)</f>
        <v>0</v>
      </c>
    </row>
    <row r="21" spans="1:3" ht="39.6">
      <c r="A21" s="75"/>
      <c r="B21" s="50" t="s">
        <v>49</v>
      </c>
      <c r="C21" s="32">
        <f ca="1">OFFSET(Bewertungen!AI15,Bewertungen!$AS$10,0)</f>
        <v>0</v>
      </c>
    </row>
    <row r="22" spans="1:3" ht="26.45">
      <c r="A22" s="75"/>
      <c r="B22" s="50" t="s">
        <v>50</v>
      </c>
      <c r="C22" s="32">
        <f ca="1">OFFSET(Bewertungen!AI16,Bewertungen!$AS$10,0)</f>
        <v>0</v>
      </c>
    </row>
    <row r="23" spans="1:3" ht="26.45">
      <c r="A23" s="75"/>
      <c r="B23" s="50" t="s">
        <v>51</v>
      </c>
      <c r="C23" s="32">
        <f ca="1">OFFSET(Bewertungen!AI17,Bewertungen!$AS$10,0)</f>
        <v>0</v>
      </c>
    </row>
    <row r="24" spans="1:3" ht="26.45">
      <c r="A24" s="76"/>
      <c r="B24" s="51" t="s">
        <v>52</v>
      </c>
      <c r="C24" s="32">
        <f ca="1">OFFSET(Bewertungen!AI18,Bewertungen!$AS$10,0)</f>
        <v>0</v>
      </c>
    </row>
    <row r="25" spans="1:3" ht="26.45">
      <c r="A25" s="74" t="s">
        <v>80</v>
      </c>
      <c r="B25" s="52" t="s">
        <v>54</v>
      </c>
      <c r="C25" s="31">
        <f ca="1">OFFSET(Bewertungen!AI19,Bewertungen!$AS$10,0)</f>
        <v>0</v>
      </c>
    </row>
    <row r="26" spans="1:3" ht="26.45">
      <c r="A26" s="75"/>
      <c r="B26" s="50" t="s">
        <v>81</v>
      </c>
      <c r="C26" s="32">
        <f ca="1">OFFSET(Bewertungen!AI20,Bewertungen!$AS$10,0)</f>
        <v>0</v>
      </c>
    </row>
    <row r="27" spans="1:3" ht="26.45">
      <c r="A27" s="75"/>
      <c r="B27" s="50" t="s">
        <v>56</v>
      </c>
      <c r="C27" s="32">
        <f ca="1">OFFSET(Bewertungen!AI21,Bewertungen!$AS$10,0)</f>
        <v>0</v>
      </c>
    </row>
    <row r="28" spans="1:3" ht="39.6">
      <c r="A28" s="75"/>
      <c r="B28" s="50" t="s">
        <v>57</v>
      </c>
      <c r="C28" s="32">
        <f ca="1">OFFSET(Bewertungen!AI22,Bewertungen!$AS$10,0)</f>
        <v>0</v>
      </c>
    </row>
    <row r="29" spans="1:3">
      <c r="A29" s="75"/>
      <c r="B29" s="50" t="s">
        <v>58</v>
      </c>
      <c r="C29" s="32">
        <f ca="1">OFFSET(Bewertungen!AI23,Bewertungen!$AS$10,0)</f>
        <v>0</v>
      </c>
    </row>
    <row r="30" spans="1:3" ht="26.45">
      <c r="A30" s="75"/>
      <c r="B30" s="50" t="s">
        <v>59</v>
      </c>
      <c r="C30" s="32">
        <f ca="1">OFFSET(Bewertungen!AI24,Bewertungen!$AS$10,0)</f>
        <v>0</v>
      </c>
    </row>
    <row r="31" spans="1:3" ht="26.45">
      <c r="A31" s="76"/>
      <c r="B31" s="51" t="s">
        <v>60</v>
      </c>
      <c r="C31" s="33">
        <f ca="1">OFFSET(Bewertungen!AI25,Bewertungen!$AS$10,0)</f>
        <v>0</v>
      </c>
    </row>
    <row r="32" spans="1:3" ht="26.45">
      <c r="A32" s="74" t="s">
        <v>61</v>
      </c>
      <c r="B32" s="49" t="s">
        <v>62</v>
      </c>
      <c r="C32" s="32">
        <f ca="1">OFFSET(Bewertungen!AI26,Bewertungen!$AS$10,0)</f>
        <v>0</v>
      </c>
    </row>
    <row r="33" spans="1:3" ht="66">
      <c r="A33" s="75"/>
      <c r="B33" s="50" t="s">
        <v>63</v>
      </c>
      <c r="C33" s="32">
        <f ca="1">OFFSET(Bewertungen!AI27,Bewertungen!$AS$10,0)</f>
        <v>0</v>
      </c>
    </row>
    <row r="34" spans="1:3" ht="26.45">
      <c r="A34" s="75"/>
      <c r="B34" s="50" t="s">
        <v>64</v>
      </c>
      <c r="C34" s="32">
        <f ca="1">OFFSET(Bewertungen!AI28,Bewertungen!$AS$10,0)</f>
        <v>0</v>
      </c>
    </row>
    <row r="35" spans="1:3">
      <c r="A35" s="75"/>
      <c r="B35" s="50" t="s">
        <v>82</v>
      </c>
      <c r="C35" s="32">
        <f ca="1">OFFSET(Bewertungen!AI29,Bewertungen!$AS$10,0)</f>
        <v>0</v>
      </c>
    </row>
    <row r="36" spans="1:3" ht="26.45">
      <c r="A36" s="76"/>
      <c r="B36" s="51" t="s">
        <v>83</v>
      </c>
      <c r="C36" s="33">
        <f ca="1">OFFSET(Bewertungen!AI30,Bewertungen!$AS$10,0)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1EE1A-B5F9-4FA8-93E3-D1372E6D731A}">
  <dimension ref="A1:C36"/>
  <sheetViews>
    <sheetView view="pageLayout" topLeftCell="A29" zoomScale="82" zoomScaleNormal="80" zoomScalePageLayoutView="82" workbookViewId="0">
      <selection activeCell="C36" sqref="C36"/>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OFFSET(Bewertungen!$AJ$7,Bewertungen!$AS$10,0)</f>
        <v>0</v>
      </c>
    </row>
    <row r="6" spans="1:3">
      <c r="A6" s="28" t="s">
        <v>72</v>
      </c>
      <c r="B6" s="28">
        <f ca="1">OFFSET(Bewertungen!$AJ$8,Bewertungen!$AS$10,0)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OFFSET(Bewertungen!$AJ$32,Bewertungen!$AS$10,0)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OFFSET(Bewertungen!AJ11,Bewertungen!$AS$10,0)</f>
        <v>0</v>
      </c>
    </row>
    <row r="18" spans="1:3" ht="26.45">
      <c r="A18" s="74" t="s">
        <v>77</v>
      </c>
      <c r="B18" s="49" t="s">
        <v>78</v>
      </c>
      <c r="C18" s="31">
        <f ca="1">OFFSET(Bewertungen!AJ12,Bewertungen!$AS$10,0)</f>
        <v>0</v>
      </c>
    </row>
    <row r="19" spans="1:3">
      <c r="A19" s="75"/>
      <c r="B19" s="50" t="s">
        <v>79</v>
      </c>
      <c r="C19" s="32">
        <f ca="1">OFFSET(Bewertungen!AJ13,Bewertungen!$AS$10,0)</f>
        <v>0</v>
      </c>
    </row>
    <row r="20" spans="1:3">
      <c r="A20" s="75"/>
      <c r="B20" s="50" t="s">
        <v>48</v>
      </c>
      <c r="C20" s="32">
        <f ca="1">OFFSET(Bewertungen!AJ14,Bewertungen!$AS$10,0)</f>
        <v>0</v>
      </c>
    </row>
    <row r="21" spans="1:3" ht="39.6">
      <c r="A21" s="75"/>
      <c r="B21" s="50" t="s">
        <v>49</v>
      </c>
      <c r="C21" s="32">
        <f ca="1">OFFSET(Bewertungen!AJ15,Bewertungen!$AS$10,0)</f>
        <v>0</v>
      </c>
    </row>
    <row r="22" spans="1:3" ht="26.45">
      <c r="A22" s="75"/>
      <c r="B22" s="50" t="s">
        <v>50</v>
      </c>
      <c r="C22" s="32">
        <f ca="1">OFFSET(Bewertungen!AJ16,Bewertungen!$AS$10,0)</f>
        <v>0</v>
      </c>
    </row>
    <row r="23" spans="1:3" ht="26.45">
      <c r="A23" s="75"/>
      <c r="B23" s="50" t="s">
        <v>51</v>
      </c>
      <c r="C23" s="32">
        <f ca="1">OFFSET(Bewertungen!AJ17,Bewertungen!$AS$10,0)</f>
        <v>0</v>
      </c>
    </row>
    <row r="24" spans="1:3" ht="26.45">
      <c r="A24" s="76"/>
      <c r="B24" s="51" t="s">
        <v>52</v>
      </c>
      <c r="C24" s="32">
        <f ca="1">OFFSET(Bewertungen!AJ18,Bewertungen!$AS$10,0)</f>
        <v>0</v>
      </c>
    </row>
    <row r="25" spans="1:3" ht="26.45">
      <c r="A25" s="74" t="s">
        <v>80</v>
      </c>
      <c r="B25" s="52" t="s">
        <v>54</v>
      </c>
      <c r="C25" s="31">
        <f ca="1">OFFSET(Bewertungen!AJ19,Bewertungen!$AS$10,0)</f>
        <v>0</v>
      </c>
    </row>
    <row r="26" spans="1:3" ht="26.45">
      <c r="A26" s="75"/>
      <c r="B26" s="50" t="s">
        <v>81</v>
      </c>
      <c r="C26" s="32">
        <f ca="1">OFFSET(Bewertungen!AJ20,Bewertungen!$AS$10,0)</f>
        <v>0</v>
      </c>
    </row>
    <row r="27" spans="1:3" ht="26.45">
      <c r="A27" s="75"/>
      <c r="B27" s="50" t="s">
        <v>56</v>
      </c>
      <c r="C27" s="32">
        <f ca="1">OFFSET(Bewertungen!AJ21,Bewertungen!$AS$10,0)</f>
        <v>0</v>
      </c>
    </row>
    <row r="28" spans="1:3" ht="39.6">
      <c r="A28" s="75"/>
      <c r="B28" s="50" t="s">
        <v>57</v>
      </c>
      <c r="C28" s="32">
        <f ca="1">OFFSET(Bewertungen!AJ22,Bewertungen!$AS$10,0)</f>
        <v>0</v>
      </c>
    </row>
    <row r="29" spans="1:3">
      <c r="A29" s="75"/>
      <c r="B29" s="50" t="s">
        <v>58</v>
      </c>
      <c r="C29" s="32">
        <f ca="1">OFFSET(Bewertungen!AJ23,Bewertungen!$AS$10,0)</f>
        <v>0</v>
      </c>
    </row>
    <row r="30" spans="1:3" ht="26.45">
      <c r="A30" s="75"/>
      <c r="B30" s="50" t="s">
        <v>59</v>
      </c>
      <c r="C30" s="32">
        <f ca="1">OFFSET(Bewertungen!AJ24,Bewertungen!$AS$10,0)</f>
        <v>0</v>
      </c>
    </row>
    <row r="31" spans="1:3" ht="26.45">
      <c r="A31" s="76"/>
      <c r="B31" s="51" t="s">
        <v>60</v>
      </c>
      <c r="C31" s="33">
        <f ca="1">OFFSET(Bewertungen!AJ25,Bewertungen!$AS$10,0)</f>
        <v>0</v>
      </c>
    </row>
    <row r="32" spans="1:3" ht="26.45">
      <c r="A32" s="74" t="s">
        <v>61</v>
      </c>
      <c r="B32" s="49" t="s">
        <v>62</v>
      </c>
      <c r="C32" s="32">
        <f ca="1">OFFSET(Bewertungen!AJ26,Bewertungen!$AS$10,0)</f>
        <v>0</v>
      </c>
    </row>
    <row r="33" spans="1:3" ht="66">
      <c r="A33" s="75"/>
      <c r="B33" s="50" t="s">
        <v>63</v>
      </c>
      <c r="C33" s="32">
        <f ca="1">OFFSET(Bewertungen!AJ27,Bewertungen!$AS$10,0)</f>
        <v>0</v>
      </c>
    </row>
    <row r="34" spans="1:3" ht="26.45">
      <c r="A34" s="75"/>
      <c r="B34" s="50" t="s">
        <v>64</v>
      </c>
      <c r="C34" s="32">
        <f ca="1">OFFSET(Bewertungen!AJ28,Bewertungen!$AS$10,0)</f>
        <v>0</v>
      </c>
    </row>
    <row r="35" spans="1:3">
      <c r="A35" s="75"/>
      <c r="B35" s="50" t="s">
        <v>82</v>
      </c>
      <c r="C35" s="32">
        <f ca="1">OFFSET(Bewertungen!AJ29,Bewertungen!$AS$10,0)</f>
        <v>0</v>
      </c>
    </row>
    <row r="36" spans="1:3" ht="26.45">
      <c r="A36" s="76"/>
      <c r="B36" s="51" t="s">
        <v>83</v>
      </c>
      <c r="C36" s="33">
        <f ca="1">OFFSET(Bewertungen!AJ30,Bewertungen!$AS$10,0)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44F8B-CD6F-4731-A061-2D3417A9CB48}">
  <dimension ref="A1:C36"/>
  <sheetViews>
    <sheetView view="pageLayout" topLeftCell="A10" zoomScale="82" zoomScaleNormal="80" zoomScalePageLayoutView="82" workbookViewId="0">
      <selection activeCell="B27" sqref="B27"/>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OFFSET(Bewertungen!$AK$7,Bewertungen!$AS$10,0)</f>
        <v>0</v>
      </c>
    </row>
    <row r="6" spans="1:3">
      <c r="A6" s="28" t="s">
        <v>72</v>
      </c>
      <c r="B6" s="28">
        <f ca="1">OFFSET(Bewertungen!$AK$8,Bewertungen!$AS$10,0)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OFFSET(Bewertungen!$AK$32,Bewertungen!$AS$10,0)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OFFSET(Bewertungen!AK11,Bewertungen!$AS$10,0)</f>
        <v>0</v>
      </c>
    </row>
    <row r="18" spans="1:3" ht="26.45">
      <c r="A18" s="74" t="s">
        <v>77</v>
      </c>
      <c r="B18" s="49" t="s">
        <v>78</v>
      </c>
      <c r="C18" s="31">
        <f ca="1">OFFSET(Bewertungen!AK12,Bewertungen!$AS$10,0)</f>
        <v>0</v>
      </c>
    </row>
    <row r="19" spans="1:3">
      <c r="A19" s="75"/>
      <c r="B19" s="50" t="s">
        <v>79</v>
      </c>
      <c r="C19" s="32">
        <f ca="1">OFFSET(Bewertungen!AK13,Bewertungen!$AS$10,0)</f>
        <v>0</v>
      </c>
    </row>
    <row r="20" spans="1:3">
      <c r="A20" s="75"/>
      <c r="B20" s="50" t="s">
        <v>48</v>
      </c>
      <c r="C20" s="32">
        <f ca="1">OFFSET(Bewertungen!AK14,Bewertungen!$AS$10,0)</f>
        <v>0</v>
      </c>
    </row>
    <row r="21" spans="1:3" ht="39.6">
      <c r="A21" s="75"/>
      <c r="B21" s="50" t="s">
        <v>49</v>
      </c>
      <c r="C21" s="32">
        <f ca="1">OFFSET(Bewertungen!AK15,Bewertungen!$AS$10,0)</f>
        <v>0</v>
      </c>
    </row>
    <row r="22" spans="1:3" ht="26.45">
      <c r="A22" s="75"/>
      <c r="B22" s="50" t="s">
        <v>50</v>
      </c>
      <c r="C22" s="32">
        <f ca="1">OFFSET(Bewertungen!AK16,Bewertungen!$AS$10,0)</f>
        <v>0</v>
      </c>
    </row>
    <row r="23" spans="1:3" ht="26.45">
      <c r="A23" s="75"/>
      <c r="B23" s="50" t="s">
        <v>51</v>
      </c>
      <c r="C23" s="32">
        <f ca="1">OFFSET(Bewertungen!AK17,Bewertungen!$AS$10,0)</f>
        <v>0</v>
      </c>
    </row>
    <row r="24" spans="1:3" ht="26.45">
      <c r="A24" s="76"/>
      <c r="B24" s="51" t="s">
        <v>52</v>
      </c>
      <c r="C24" s="32">
        <f ca="1">OFFSET(Bewertungen!AK18,Bewertungen!$AS$10,0)</f>
        <v>0</v>
      </c>
    </row>
    <row r="25" spans="1:3" ht="26.45">
      <c r="A25" s="74" t="s">
        <v>80</v>
      </c>
      <c r="B25" s="52" t="s">
        <v>54</v>
      </c>
      <c r="C25" s="31">
        <f ca="1">OFFSET(Bewertungen!AK19,Bewertungen!$AS$10,0)</f>
        <v>0</v>
      </c>
    </row>
    <row r="26" spans="1:3" ht="26.45">
      <c r="A26" s="75"/>
      <c r="B26" s="50" t="s">
        <v>81</v>
      </c>
      <c r="C26" s="32">
        <f ca="1">OFFSET(Bewertungen!AK20,Bewertungen!$AS$10,0)</f>
        <v>0</v>
      </c>
    </row>
    <row r="27" spans="1:3" ht="26.45">
      <c r="A27" s="75"/>
      <c r="B27" s="50" t="s">
        <v>56</v>
      </c>
      <c r="C27" s="32">
        <f ca="1">OFFSET(Bewertungen!AK21,Bewertungen!$AS$10,0)</f>
        <v>0</v>
      </c>
    </row>
    <row r="28" spans="1:3" ht="39.6">
      <c r="A28" s="75"/>
      <c r="B28" s="50" t="s">
        <v>57</v>
      </c>
      <c r="C28" s="32">
        <f ca="1">OFFSET(Bewertungen!AK22,Bewertungen!$AS$10,0)</f>
        <v>0</v>
      </c>
    </row>
    <row r="29" spans="1:3">
      <c r="A29" s="75"/>
      <c r="B29" s="50" t="s">
        <v>58</v>
      </c>
      <c r="C29" s="32">
        <f ca="1">OFFSET(Bewertungen!AK23,Bewertungen!$AS$10,0)</f>
        <v>0</v>
      </c>
    </row>
    <row r="30" spans="1:3" ht="26.45">
      <c r="A30" s="75"/>
      <c r="B30" s="50" t="s">
        <v>59</v>
      </c>
      <c r="C30" s="32">
        <f ca="1">OFFSET(Bewertungen!AK24,Bewertungen!$AS$10,0)</f>
        <v>0</v>
      </c>
    </row>
    <row r="31" spans="1:3" ht="26.45">
      <c r="A31" s="76"/>
      <c r="B31" s="51" t="s">
        <v>60</v>
      </c>
      <c r="C31" s="33">
        <f ca="1">OFFSET(Bewertungen!AK25,Bewertungen!$AS$10,0)</f>
        <v>0</v>
      </c>
    </row>
    <row r="32" spans="1:3" ht="26.45">
      <c r="A32" s="74" t="s">
        <v>61</v>
      </c>
      <c r="B32" s="49" t="s">
        <v>62</v>
      </c>
      <c r="C32" s="32">
        <f ca="1">OFFSET(Bewertungen!AK26,Bewertungen!$AS$10,0)</f>
        <v>0</v>
      </c>
    </row>
    <row r="33" spans="1:3" ht="66">
      <c r="A33" s="75"/>
      <c r="B33" s="50" t="s">
        <v>63</v>
      </c>
      <c r="C33" s="32">
        <f ca="1">OFFSET(Bewertungen!AK27,Bewertungen!$AS$10,0)</f>
        <v>0</v>
      </c>
    </row>
    <row r="34" spans="1:3" ht="26.45">
      <c r="A34" s="75"/>
      <c r="B34" s="50" t="s">
        <v>64</v>
      </c>
      <c r="C34" s="32">
        <f ca="1">OFFSET(Bewertungen!AK28,Bewertungen!$AS$10,0)</f>
        <v>0</v>
      </c>
    </row>
    <row r="35" spans="1:3">
      <c r="A35" s="75"/>
      <c r="B35" s="50" t="s">
        <v>82</v>
      </c>
      <c r="C35" s="32">
        <f ca="1">OFFSET(Bewertungen!AK29,Bewertungen!$AS$10,0)</f>
        <v>0</v>
      </c>
    </row>
    <row r="36" spans="1:3" ht="26.45">
      <c r="A36" s="76"/>
      <c r="B36" s="51" t="s">
        <v>83</v>
      </c>
      <c r="C36" s="33">
        <f ca="1">OFFSET(Bewertungen!AK30,Bewertungen!$AS$10,0)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2368F-7066-417B-9A04-0625837E656A}">
  <dimension ref="A1:C36"/>
  <sheetViews>
    <sheetView view="pageLayout" topLeftCell="A27" zoomScale="82" zoomScaleNormal="80" zoomScalePageLayoutView="82" workbookViewId="0">
      <selection activeCell="B21" sqref="B21"/>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OFFSET(Bewertungen!$AL$7,Bewertungen!$AS$10,0)</f>
        <v>0</v>
      </c>
    </row>
    <row r="6" spans="1:3">
      <c r="A6" s="28" t="s">
        <v>72</v>
      </c>
      <c r="B6" s="28">
        <f ca="1">OFFSET(Bewertungen!$AL$8,Bewertungen!$AS$10,0)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OFFSET(Bewertungen!$AL$32,Bewertungen!$AS$10,0)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OFFSET(Bewertungen!AL11,Bewertungen!$AS$10,0)</f>
        <v>0</v>
      </c>
    </row>
    <row r="18" spans="1:3" ht="26.45">
      <c r="A18" s="74" t="s">
        <v>77</v>
      </c>
      <c r="B18" s="49" t="s">
        <v>78</v>
      </c>
      <c r="C18" s="31">
        <f ca="1">OFFSET(Bewertungen!AL12,Bewertungen!$AS$10,0)</f>
        <v>0</v>
      </c>
    </row>
    <row r="19" spans="1:3">
      <c r="A19" s="75"/>
      <c r="B19" s="50" t="s">
        <v>79</v>
      </c>
      <c r="C19" s="32">
        <f ca="1">OFFSET(Bewertungen!AL13,Bewertungen!$AS$10,0)</f>
        <v>0</v>
      </c>
    </row>
    <row r="20" spans="1:3">
      <c r="A20" s="75"/>
      <c r="B20" s="50" t="s">
        <v>48</v>
      </c>
      <c r="C20" s="32">
        <f ca="1">OFFSET(Bewertungen!AL14,Bewertungen!$AS$10,0)</f>
        <v>0</v>
      </c>
    </row>
    <row r="21" spans="1:3" ht="39.6">
      <c r="A21" s="75"/>
      <c r="B21" s="50" t="s">
        <v>49</v>
      </c>
      <c r="C21" s="32">
        <f ca="1">OFFSET(Bewertungen!AL15,Bewertungen!$AS$10,0)</f>
        <v>0</v>
      </c>
    </row>
    <row r="22" spans="1:3" ht="26.45">
      <c r="A22" s="75"/>
      <c r="B22" s="50" t="s">
        <v>50</v>
      </c>
      <c r="C22" s="32">
        <f ca="1">OFFSET(Bewertungen!AL16,Bewertungen!$AS$10,0)</f>
        <v>0</v>
      </c>
    </row>
    <row r="23" spans="1:3" ht="26.45">
      <c r="A23" s="75"/>
      <c r="B23" s="50" t="s">
        <v>51</v>
      </c>
      <c r="C23" s="32">
        <f ca="1">OFFSET(Bewertungen!AL17,Bewertungen!$AS$10,0)</f>
        <v>0</v>
      </c>
    </row>
    <row r="24" spans="1:3" ht="26.45">
      <c r="A24" s="76"/>
      <c r="B24" s="51" t="s">
        <v>52</v>
      </c>
      <c r="C24" s="33">
        <f ca="1">OFFSET(Bewertungen!AL18,Bewertungen!$AS$10,0)</f>
        <v>0</v>
      </c>
    </row>
    <row r="25" spans="1:3" ht="26.45">
      <c r="A25" s="74" t="s">
        <v>80</v>
      </c>
      <c r="B25" s="38" t="s">
        <v>54</v>
      </c>
      <c r="C25" s="31">
        <f ca="1">OFFSET(Bewertungen!AL19,Bewertungen!$AS$10,0)</f>
        <v>0</v>
      </c>
    </row>
    <row r="26" spans="1:3" ht="26.45">
      <c r="A26" s="75"/>
      <c r="B26" s="36" t="s">
        <v>81</v>
      </c>
      <c r="C26" s="32">
        <f ca="1">OFFSET(Bewertungen!AL20,Bewertungen!$AS$10,0)</f>
        <v>0</v>
      </c>
    </row>
    <row r="27" spans="1:3" ht="26.45">
      <c r="A27" s="75"/>
      <c r="B27" s="36" t="s">
        <v>56</v>
      </c>
      <c r="C27" s="32">
        <f ca="1">OFFSET(Bewertungen!AL21,Bewertungen!$AS$10,0)</f>
        <v>0</v>
      </c>
    </row>
    <row r="28" spans="1:3" ht="39.6">
      <c r="A28" s="75"/>
      <c r="B28" s="36" t="s">
        <v>57</v>
      </c>
      <c r="C28" s="32">
        <f ca="1">OFFSET(Bewertungen!AL22,Bewertungen!$AS$10,0)</f>
        <v>0</v>
      </c>
    </row>
    <row r="29" spans="1:3">
      <c r="A29" s="75"/>
      <c r="B29" s="36" t="s">
        <v>58</v>
      </c>
      <c r="C29" s="32">
        <f ca="1">OFFSET(Bewertungen!AL23,Bewertungen!$AS$10,0)</f>
        <v>0</v>
      </c>
    </row>
    <row r="30" spans="1:3" ht="26.45">
      <c r="A30" s="75"/>
      <c r="B30" s="36" t="s">
        <v>59</v>
      </c>
      <c r="C30" s="32">
        <f ca="1">OFFSET(Bewertungen!AL24,Bewertungen!$AS$10,0)</f>
        <v>0</v>
      </c>
    </row>
    <row r="31" spans="1:3" ht="26.45">
      <c r="A31" s="76"/>
      <c r="B31" s="37" t="s">
        <v>60</v>
      </c>
      <c r="C31" s="33">
        <f ca="1">OFFSET(Bewertungen!AL25,Bewertungen!$AS$10,0)</f>
        <v>0</v>
      </c>
    </row>
    <row r="32" spans="1:3" ht="26.45">
      <c r="A32" s="74" t="s">
        <v>61</v>
      </c>
      <c r="B32" s="35" t="s">
        <v>62</v>
      </c>
      <c r="C32" s="31">
        <f ca="1">OFFSET(Bewertungen!AL26,Bewertungen!$AS$10,0)</f>
        <v>0</v>
      </c>
    </row>
    <row r="33" spans="1:3" ht="66">
      <c r="A33" s="75"/>
      <c r="B33" s="36" t="s">
        <v>63</v>
      </c>
      <c r="C33" s="32">
        <f ca="1">OFFSET(Bewertungen!AL27,Bewertungen!$AS$10,0)</f>
        <v>0</v>
      </c>
    </row>
    <row r="34" spans="1:3" ht="26.45">
      <c r="A34" s="75"/>
      <c r="B34" s="36" t="s">
        <v>64</v>
      </c>
      <c r="C34" s="32">
        <f ca="1">OFFSET(Bewertungen!AL28,Bewertungen!$AS$10,0)</f>
        <v>0</v>
      </c>
    </row>
    <row r="35" spans="1:3">
      <c r="A35" s="75"/>
      <c r="B35" s="36" t="s">
        <v>82</v>
      </c>
      <c r="C35" s="32">
        <f ca="1">OFFSET(Bewertungen!AL29,Bewertungen!$AS$10,0)</f>
        <v>0</v>
      </c>
    </row>
    <row r="36" spans="1:3" ht="26.45">
      <c r="A36" s="76"/>
      <c r="B36" s="37" t="s">
        <v>83</v>
      </c>
      <c r="C36" s="33">
        <f ca="1">OFFSET(Bewertungen!AL30,Bewertungen!$AS$10,0)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FF178-8A1E-4CB7-B7CF-C9F4B33C1A27}">
  <dimension ref="A1:C36"/>
  <sheetViews>
    <sheetView view="pageLayout" topLeftCell="A10" zoomScale="82" zoomScaleNormal="80" zoomScalePageLayoutView="82" workbookViewId="0">
      <selection activeCell="B26" sqref="B26"/>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OFFSET(Bewertungen!$AM$7,Bewertungen!$AS$10,0)</f>
        <v>0</v>
      </c>
    </row>
    <row r="6" spans="1:3">
      <c r="A6" s="28" t="s">
        <v>72</v>
      </c>
      <c r="B6" s="28">
        <f ca="1">OFFSET(Bewertungen!$AM$8,Bewertungen!$AS$10,0)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OFFSET(Bewertungen!$AM$32,Bewertungen!$AS$10,0)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OFFSET(Bewertungen!AM11,Bewertungen!$AS$10,0)</f>
        <v>0</v>
      </c>
    </row>
    <row r="18" spans="1:3" ht="26.45">
      <c r="A18" s="74" t="s">
        <v>77</v>
      </c>
      <c r="B18" s="49" t="s">
        <v>78</v>
      </c>
      <c r="C18" s="31">
        <f ca="1">OFFSET(Bewertungen!AM12,Bewertungen!$AS$10,0)</f>
        <v>0</v>
      </c>
    </row>
    <row r="19" spans="1:3">
      <c r="A19" s="75"/>
      <c r="B19" s="50" t="s">
        <v>79</v>
      </c>
      <c r="C19" s="32">
        <f ca="1">OFFSET(Bewertungen!AM13,Bewertungen!$AS$10,0)</f>
        <v>0</v>
      </c>
    </row>
    <row r="20" spans="1:3">
      <c r="A20" s="75"/>
      <c r="B20" s="50" t="s">
        <v>48</v>
      </c>
      <c r="C20" s="32">
        <f ca="1">OFFSET(Bewertungen!AM14,Bewertungen!$AS$10,0)</f>
        <v>0</v>
      </c>
    </row>
    <row r="21" spans="1:3" ht="39.6">
      <c r="A21" s="75"/>
      <c r="B21" s="50" t="s">
        <v>49</v>
      </c>
      <c r="C21" s="32">
        <f ca="1">OFFSET(Bewertungen!AM15,Bewertungen!$AS$10,0)</f>
        <v>0</v>
      </c>
    </row>
    <row r="22" spans="1:3" ht="26.45">
      <c r="A22" s="75"/>
      <c r="B22" s="50" t="s">
        <v>50</v>
      </c>
      <c r="C22" s="32">
        <f ca="1">OFFSET(Bewertungen!AM16,Bewertungen!$AS$10,0)</f>
        <v>0</v>
      </c>
    </row>
    <row r="23" spans="1:3" ht="26.45">
      <c r="A23" s="75"/>
      <c r="B23" s="50" t="s">
        <v>51</v>
      </c>
      <c r="C23" s="32">
        <f ca="1">OFFSET(Bewertungen!AM17,Bewertungen!$AS$10,0)</f>
        <v>0</v>
      </c>
    </row>
    <row r="24" spans="1:3" ht="26.45">
      <c r="A24" s="76"/>
      <c r="B24" s="51" t="s">
        <v>52</v>
      </c>
      <c r="C24" s="32">
        <f ca="1">OFFSET(Bewertungen!AM18,Bewertungen!$AS$10,0)</f>
        <v>0</v>
      </c>
    </row>
    <row r="25" spans="1:3" ht="26.45">
      <c r="A25" s="74" t="s">
        <v>80</v>
      </c>
      <c r="B25" s="52" t="s">
        <v>54</v>
      </c>
      <c r="C25" s="31">
        <f ca="1">OFFSET(Bewertungen!AM19,Bewertungen!$AS$10,0)</f>
        <v>0</v>
      </c>
    </row>
    <row r="26" spans="1:3" ht="26.45">
      <c r="A26" s="75"/>
      <c r="B26" s="50" t="s">
        <v>81</v>
      </c>
      <c r="C26" s="32">
        <f ca="1">OFFSET(Bewertungen!AM20,Bewertungen!$AS$10,0)</f>
        <v>0</v>
      </c>
    </row>
    <row r="27" spans="1:3" ht="26.45">
      <c r="A27" s="75"/>
      <c r="B27" s="50" t="s">
        <v>56</v>
      </c>
      <c r="C27" s="32">
        <f ca="1">OFFSET(Bewertungen!AM21,Bewertungen!$AS$10,0)</f>
        <v>0</v>
      </c>
    </row>
    <row r="28" spans="1:3" ht="39.6">
      <c r="A28" s="75"/>
      <c r="B28" s="50" t="s">
        <v>57</v>
      </c>
      <c r="C28" s="32">
        <f ca="1">OFFSET(Bewertungen!AM22,Bewertungen!$AS$10,0)</f>
        <v>0</v>
      </c>
    </row>
    <row r="29" spans="1:3">
      <c r="A29" s="75"/>
      <c r="B29" s="50" t="s">
        <v>58</v>
      </c>
      <c r="C29" s="32">
        <f ca="1">OFFSET(Bewertungen!AM23,Bewertungen!$AS$10,0)</f>
        <v>0</v>
      </c>
    </row>
    <row r="30" spans="1:3" ht="26.45">
      <c r="A30" s="75"/>
      <c r="B30" s="50" t="s">
        <v>59</v>
      </c>
      <c r="C30" s="32">
        <f ca="1">OFFSET(Bewertungen!AM24,Bewertungen!$AS$10,0)</f>
        <v>0</v>
      </c>
    </row>
    <row r="31" spans="1:3" ht="26.45">
      <c r="A31" s="76"/>
      <c r="B31" s="51" t="s">
        <v>60</v>
      </c>
      <c r="C31" s="33">
        <f ca="1">OFFSET(Bewertungen!AM25,Bewertungen!$AS$10,0)</f>
        <v>0</v>
      </c>
    </row>
    <row r="32" spans="1:3" ht="26.45">
      <c r="A32" s="74" t="s">
        <v>61</v>
      </c>
      <c r="B32" s="49" t="s">
        <v>62</v>
      </c>
      <c r="C32" s="32">
        <f ca="1">OFFSET(Bewertungen!AM26,Bewertungen!$AS$10,0)</f>
        <v>0</v>
      </c>
    </row>
    <row r="33" spans="1:3" ht="66">
      <c r="A33" s="75"/>
      <c r="B33" s="50" t="s">
        <v>63</v>
      </c>
      <c r="C33" s="32">
        <f ca="1">OFFSET(Bewertungen!AM27,Bewertungen!$AS$10,0)</f>
        <v>0</v>
      </c>
    </row>
    <row r="34" spans="1:3" ht="26.45">
      <c r="A34" s="75"/>
      <c r="B34" s="50" t="s">
        <v>64</v>
      </c>
      <c r="C34" s="32">
        <f ca="1">OFFSET(Bewertungen!AM28,Bewertungen!$AS$10,0)</f>
        <v>0</v>
      </c>
    </row>
    <row r="35" spans="1:3">
      <c r="A35" s="75"/>
      <c r="B35" s="50" t="s">
        <v>82</v>
      </c>
      <c r="C35" s="32">
        <f ca="1">OFFSET(Bewertungen!AM29,Bewertungen!$AS$10,0)</f>
        <v>0</v>
      </c>
    </row>
    <row r="36" spans="1:3" ht="26.45">
      <c r="A36" s="76"/>
      <c r="B36" s="51" t="s">
        <v>83</v>
      </c>
      <c r="C36" s="33">
        <f ca="1">OFFSET(Bewertungen!AM30,Bewertungen!$AS$10,0)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93001-0889-4121-AE35-CBCCE9F1BE5F}">
  <dimension ref="A1:C36"/>
  <sheetViews>
    <sheetView view="pageLayout" topLeftCell="A26" zoomScale="82" zoomScaleNormal="80" zoomScalePageLayoutView="82" workbookViewId="0">
      <selection activeCell="B27" sqref="B27"/>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OFFSET(Bewertungen!$AN$7,Bewertungen!$AS$10,0)</f>
        <v>0</v>
      </c>
    </row>
    <row r="6" spans="1:3">
      <c r="A6" s="28" t="s">
        <v>72</v>
      </c>
      <c r="B6" s="28">
        <f ca="1">OFFSET(Bewertungen!$AN$8,Bewertungen!$AS$10,0)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OFFSET(Bewertungen!$AN$32,Bewertungen!$AS$10,0)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OFFSET(Bewertungen!AN11,Bewertungen!$AS$10,0)</f>
        <v>0</v>
      </c>
    </row>
    <row r="18" spans="1:3" ht="26.45">
      <c r="A18" s="74" t="s">
        <v>77</v>
      </c>
      <c r="B18" s="49" t="s">
        <v>78</v>
      </c>
      <c r="C18" s="31">
        <f ca="1">OFFSET(Bewertungen!AN12,Bewertungen!$AS$10,0)</f>
        <v>0</v>
      </c>
    </row>
    <row r="19" spans="1:3">
      <c r="A19" s="75"/>
      <c r="B19" s="50" t="s">
        <v>79</v>
      </c>
      <c r="C19" s="32">
        <f ca="1">OFFSET(Bewertungen!AN13,Bewertungen!$AS$10,0)</f>
        <v>0</v>
      </c>
    </row>
    <row r="20" spans="1:3">
      <c r="A20" s="75"/>
      <c r="B20" s="50" t="s">
        <v>48</v>
      </c>
      <c r="C20" s="32">
        <f ca="1">OFFSET(Bewertungen!AN14,Bewertungen!$AS$10,0)</f>
        <v>0</v>
      </c>
    </row>
    <row r="21" spans="1:3" ht="39.6">
      <c r="A21" s="75"/>
      <c r="B21" s="50" t="s">
        <v>49</v>
      </c>
      <c r="C21" s="32">
        <f ca="1">OFFSET(Bewertungen!AN15,Bewertungen!$AS$10,0)</f>
        <v>0</v>
      </c>
    </row>
    <row r="22" spans="1:3" ht="26.45">
      <c r="A22" s="75"/>
      <c r="B22" s="50" t="s">
        <v>50</v>
      </c>
      <c r="C22" s="32">
        <f ca="1">OFFSET(Bewertungen!AN16,Bewertungen!$AS$10,0)</f>
        <v>0</v>
      </c>
    </row>
    <row r="23" spans="1:3" ht="26.45">
      <c r="A23" s="75"/>
      <c r="B23" s="50" t="s">
        <v>51</v>
      </c>
      <c r="C23" s="32">
        <f ca="1">OFFSET(Bewertungen!AN17,Bewertungen!$AS$10,0)</f>
        <v>0</v>
      </c>
    </row>
    <row r="24" spans="1:3" ht="26.45">
      <c r="A24" s="76"/>
      <c r="B24" s="51" t="s">
        <v>52</v>
      </c>
      <c r="C24" s="32">
        <f ca="1">OFFSET(Bewertungen!AN18,Bewertungen!$AS$10,0)</f>
        <v>0</v>
      </c>
    </row>
    <row r="25" spans="1:3" ht="26.45">
      <c r="A25" s="74" t="s">
        <v>80</v>
      </c>
      <c r="B25" s="52" t="s">
        <v>54</v>
      </c>
      <c r="C25" s="31">
        <f ca="1">OFFSET(Bewertungen!AN19,Bewertungen!$AS$10,0)</f>
        <v>0</v>
      </c>
    </row>
    <row r="26" spans="1:3" ht="26.45">
      <c r="A26" s="75"/>
      <c r="B26" s="50" t="s">
        <v>81</v>
      </c>
      <c r="C26" s="32">
        <f ca="1">OFFSET(Bewertungen!AN20,Bewertungen!$AS$10,0)</f>
        <v>0</v>
      </c>
    </row>
    <row r="27" spans="1:3" ht="26.45">
      <c r="A27" s="75"/>
      <c r="B27" s="50" t="s">
        <v>56</v>
      </c>
      <c r="C27" s="32">
        <f ca="1">OFFSET(Bewertungen!AN21,Bewertungen!$AS$10,0)</f>
        <v>0</v>
      </c>
    </row>
    <row r="28" spans="1:3" ht="39.6">
      <c r="A28" s="75"/>
      <c r="B28" s="50" t="s">
        <v>57</v>
      </c>
      <c r="C28" s="32">
        <f ca="1">OFFSET(Bewertungen!AN22,Bewertungen!$AS$10,0)</f>
        <v>0</v>
      </c>
    </row>
    <row r="29" spans="1:3">
      <c r="A29" s="75"/>
      <c r="B29" s="50" t="s">
        <v>58</v>
      </c>
      <c r="C29" s="32">
        <f ca="1">OFFSET(Bewertungen!AN23,Bewertungen!$AS$10,0)</f>
        <v>0</v>
      </c>
    </row>
    <row r="30" spans="1:3" ht="26.45">
      <c r="A30" s="75"/>
      <c r="B30" s="50" t="s">
        <v>59</v>
      </c>
      <c r="C30" s="32">
        <f ca="1">OFFSET(Bewertungen!AN24,Bewertungen!$AS$10,0)</f>
        <v>0</v>
      </c>
    </row>
    <row r="31" spans="1:3" ht="26.45">
      <c r="A31" s="76"/>
      <c r="B31" s="51" t="s">
        <v>60</v>
      </c>
      <c r="C31" s="33">
        <f ca="1">OFFSET(Bewertungen!AN25,Bewertungen!$AS$10,0)</f>
        <v>0</v>
      </c>
    </row>
    <row r="32" spans="1:3" ht="26.45">
      <c r="A32" s="74" t="s">
        <v>61</v>
      </c>
      <c r="B32" s="49" t="s">
        <v>62</v>
      </c>
      <c r="C32" s="32">
        <f ca="1">OFFSET(Bewertungen!AN26,Bewertungen!$AS$10,0)</f>
        <v>0</v>
      </c>
    </row>
    <row r="33" spans="1:3" ht="66">
      <c r="A33" s="75"/>
      <c r="B33" s="50" t="s">
        <v>63</v>
      </c>
      <c r="C33" s="32">
        <f ca="1">OFFSET(Bewertungen!AN27,Bewertungen!$AS$10,0)</f>
        <v>0</v>
      </c>
    </row>
    <row r="34" spans="1:3" ht="26.45">
      <c r="A34" s="75"/>
      <c r="B34" s="50" t="s">
        <v>64</v>
      </c>
      <c r="C34" s="32">
        <f ca="1">OFFSET(Bewertungen!AN28,Bewertungen!$AS$10,0)</f>
        <v>0</v>
      </c>
    </row>
    <row r="35" spans="1:3">
      <c r="A35" s="75"/>
      <c r="B35" s="50" t="s">
        <v>82</v>
      </c>
      <c r="C35" s="32">
        <f ca="1">OFFSET(Bewertungen!AN29,Bewertungen!$AS$10,0)</f>
        <v>0</v>
      </c>
    </row>
    <row r="36" spans="1:3" ht="26.45">
      <c r="A36" s="76"/>
      <c r="B36" s="51" t="s">
        <v>83</v>
      </c>
      <c r="C36" s="33">
        <f ca="1">OFFSET(Bewertungen!AN30,Bewertungen!$AS$10,0)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18D59-D9B6-4DF4-AD09-4D7C30AA2742}">
  <dimension ref="A1:C36"/>
  <sheetViews>
    <sheetView view="pageLayout" topLeftCell="A7" zoomScale="82" zoomScaleNormal="80" zoomScalePageLayoutView="82" workbookViewId="0">
      <selection activeCell="C28" sqref="C28"/>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OFFSET(Bewertungen!$AO$7,Bewertungen!$AS$10,0)</f>
        <v>0</v>
      </c>
    </row>
    <row r="6" spans="1:3">
      <c r="A6" s="28" t="s">
        <v>72</v>
      </c>
      <c r="B6" s="28">
        <f ca="1">OFFSET(Bewertungen!$AO$8,Bewertungen!$AS$10,0)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OFFSET(Bewertungen!$AO$32,Bewertungen!$AS$10,0)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OFFSET(Bewertungen!AO11,Bewertungen!$AS$10,0)</f>
        <v>0</v>
      </c>
    </row>
    <row r="18" spans="1:3" ht="26.45">
      <c r="A18" s="74" t="s">
        <v>77</v>
      </c>
      <c r="B18" s="49" t="s">
        <v>78</v>
      </c>
      <c r="C18" s="31">
        <f ca="1">OFFSET(Bewertungen!AO12,Bewertungen!$AS$10,0)</f>
        <v>0</v>
      </c>
    </row>
    <row r="19" spans="1:3">
      <c r="A19" s="75"/>
      <c r="B19" s="50" t="s">
        <v>79</v>
      </c>
      <c r="C19" s="32">
        <f ca="1">OFFSET(Bewertungen!AO13,Bewertungen!$AS$10,0)</f>
        <v>0</v>
      </c>
    </row>
    <row r="20" spans="1:3">
      <c r="A20" s="75"/>
      <c r="B20" s="50" t="s">
        <v>48</v>
      </c>
      <c r="C20" s="32">
        <f ca="1">OFFSET(Bewertungen!AO14,Bewertungen!$AS$10,0)</f>
        <v>0</v>
      </c>
    </row>
    <row r="21" spans="1:3" ht="39.6">
      <c r="A21" s="75"/>
      <c r="B21" s="50" t="s">
        <v>49</v>
      </c>
      <c r="C21" s="32">
        <f ca="1">OFFSET(Bewertungen!AO15,Bewertungen!$AS$10,0)</f>
        <v>0</v>
      </c>
    </row>
    <row r="22" spans="1:3" ht="26.45">
      <c r="A22" s="75"/>
      <c r="B22" s="50" t="s">
        <v>50</v>
      </c>
      <c r="C22" s="32">
        <f ca="1">OFFSET(Bewertungen!AO16,Bewertungen!$AS$10,0)</f>
        <v>0</v>
      </c>
    </row>
    <row r="23" spans="1:3" ht="26.45">
      <c r="A23" s="75"/>
      <c r="B23" s="50" t="s">
        <v>51</v>
      </c>
      <c r="C23" s="32">
        <f ca="1">OFFSET(Bewertungen!AO17,Bewertungen!$AS$10,0)</f>
        <v>0</v>
      </c>
    </row>
    <row r="24" spans="1:3" ht="26.45">
      <c r="A24" s="76"/>
      <c r="B24" s="51" t="s">
        <v>52</v>
      </c>
      <c r="C24" s="32">
        <f ca="1">OFFSET(Bewertungen!AO18,Bewertungen!$AS$10,0)</f>
        <v>0</v>
      </c>
    </row>
    <row r="25" spans="1:3" ht="26.45">
      <c r="A25" s="74" t="s">
        <v>80</v>
      </c>
      <c r="B25" s="52" t="s">
        <v>54</v>
      </c>
      <c r="C25" s="31">
        <f ca="1">OFFSET(Bewertungen!AO19,Bewertungen!$AS$10,0)</f>
        <v>0</v>
      </c>
    </row>
    <row r="26" spans="1:3" ht="26.45">
      <c r="A26" s="75"/>
      <c r="B26" s="50" t="s">
        <v>81</v>
      </c>
      <c r="C26" s="32">
        <f ca="1">OFFSET(Bewertungen!AO20,Bewertungen!$AS$10,0)</f>
        <v>0</v>
      </c>
    </row>
    <row r="27" spans="1:3" ht="26.45">
      <c r="A27" s="75"/>
      <c r="B27" s="50" t="s">
        <v>56</v>
      </c>
      <c r="C27" s="32">
        <f ca="1">OFFSET(Bewertungen!AO21,Bewertungen!$AS$10,0)</f>
        <v>0</v>
      </c>
    </row>
    <row r="28" spans="1:3" ht="39.6">
      <c r="A28" s="75"/>
      <c r="B28" s="50" t="s">
        <v>57</v>
      </c>
      <c r="C28" s="32">
        <f ca="1">OFFSET(Bewertungen!AO22,Bewertungen!$AS$10,0)</f>
        <v>0</v>
      </c>
    </row>
    <row r="29" spans="1:3">
      <c r="A29" s="75"/>
      <c r="B29" s="50" t="s">
        <v>58</v>
      </c>
      <c r="C29" s="32">
        <f ca="1">OFFSET(Bewertungen!AO23,Bewertungen!$AS$10,0)</f>
        <v>0</v>
      </c>
    </row>
    <row r="30" spans="1:3" ht="26.45">
      <c r="A30" s="75"/>
      <c r="B30" s="50" t="s">
        <v>59</v>
      </c>
      <c r="C30" s="32">
        <f ca="1">OFFSET(Bewertungen!AO24,Bewertungen!$AS$10,0)</f>
        <v>0</v>
      </c>
    </row>
    <row r="31" spans="1:3" ht="26.45">
      <c r="A31" s="76"/>
      <c r="B31" s="51" t="s">
        <v>60</v>
      </c>
      <c r="C31" s="33">
        <f ca="1">OFFSET(Bewertungen!AO25,Bewertungen!$AS$10,0)</f>
        <v>0</v>
      </c>
    </row>
    <row r="32" spans="1:3" ht="26.45">
      <c r="A32" s="74" t="s">
        <v>61</v>
      </c>
      <c r="B32" s="49" t="s">
        <v>62</v>
      </c>
      <c r="C32" s="32">
        <f ca="1">OFFSET(Bewertungen!AO26,Bewertungen!$AS$10,0)</f>
        <v>0</v>
      </c>
    </row>
    <row r="33" spans="1:3" ht="66">
      <c r="A33" s="75"/>
      <c r="B33" s="50" t="s">
        <v>63</v>
      </c>
      <c r="C33" s="32">
        <f ca="1">OFFSET(Bewertungen!AO27,Bewertungen!$AS$10,0)</f>
        <v>0</v>
      </c>
    </row>
    <row r="34" spans="1:3" ht="26.45">
      <c r="A34" s="75"/>
      <c r="B34" s="50" t="s">
        <v>64</v>
      </c>
      <c r="C34" s="32">
        <f ca="1">OFFSET(Bewertungen!AO28,Bewertungen!$AS$10,0)</f>
        <v>0</v>
      </c>
    </row>
    <row r="35" spans="1:3">
      <c r="A35" s="75"/>
      <c r="B35" s="50" t="s">
        <v>82</v>
      </c>
      <c r="C35" s="32">
        <f ca="1">OFFSET(Bewertungen!AO29,Bewertungen!$AS$10,0)</f>
        <v>0</v>
      </c>
    </row>
    <row r="36" spans="1:3" ht="26.45">
      <c r="A36" s="76"/>
      <c r="B36" s="51" t="s">
        <v>83</v>
      </c>
      <c r="C36" s="33">
        <f ca="1">OFFSET(Bewertungen!AO30,Bewertungen!$AS$10,0)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5343E-1052-444E-8A20-299841D9E422}">
  <dimension ref="A1:C36"/>
  <sheetViews>
    <sheetView view="pageLayout" zoomScale="82" zoomScaleNormal="80" zoomScalePageLayoutView="82" workbookViewId="0">
      <selection activeCell="B6" sqref="B6"/>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OFFSET(Bewertungen!$AP$7,Bewertungen!$AS$10,0)</f>
        <v>0</v>
      </c>
    </row>
    <row r="6" spans="1:3">
      <c r="A6" s="28" t="s">
        <v>72</v>
      </c>
      <c r="B6" s="28">
        <f ca="1">OFFSET(Bewertungen!$AP$8,Bewertungen!$AS$10,0)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OFFSET(Bewertungen!$AP$32,Bewertungen!$AS$10,0)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OFFSET(Bewertungen!AP11,Bewertungen!$AS$10,0)</f>
        <v>0</v>
      </c>
    </row>
    <row r="18" spans="1:3" ht="26.45">
      <c r="A18" s="74" t="s">
        <v>77</v>
      </c>
      <c r="B18" s="49" t="s">
        <v>78</v>
      </c>
      <c r="C18" s="31">
        <f ca="1">OFFSET(Bewertungen!AP12,Bewertungen!$AS$10,0)</f>
        <v>0</v>
      </c>
    </row>
    <row r="19" spans="1:3">
      <c r="A19" s="75"/>
      <c r="B19" s="50" t="s">
        <v>79</v>
      </c>
      <c r="C19" s="32">
        <f ca="1">OFFSET(Bewertungen!AP13,Bewertungen!$AS$10,0)</f>
        <v>0</v>
      </c>
    </row>
    <row r="20" spans="1:3">
      <c r="A20" s="75"/>
      <c r="B20" s="50" t="s">
        <v>48</v>
      </c>
      <c r="C20" s="32">
        <f ca="1">OFFSET(Bewertungen!AP14,Bewertungen!$AS$10,0)</f>
        <v>0</v>
      </c>
    </row>
    <row r="21" spans="1:3" ht="39.6">
      <c r="A21" s="75"/>
      <c r="B21" s="50" t="s">
        <v>49</v>
      </c>
      <c r="C21" s="32">
        <f ca="1">OFFSET(Bewertungen!AP15,Bewertungen!$AS$10,0)</f>
        <v>0</v>
      </c>
    </row>
    <row r="22" spans="1:3" ht="26.45">
      <c r="A22" s="75"/>
      <c r="B22" s="50" t="s">
        <v>50</v>
      </c>
      <c r="C22" s="32">
        <f ca="1">OFFSET(Bewertungen!AP16,Bewertungen!$AS$10,0)</f>
        <v>0</v>
      </c>
    </row>
    <row r="23" spans="1:3" ht="26.45">
      <c r="A23" s="75"/>
      <c r="B23" s="50" t="s">
        <v>51</v>
      </c>
      <c r="C23" s="32">
        <f ca="1">OFFSET(Bewertungen!AP17,Bewertungen!$AS$10,0)</f>
        <v>0</v>
      </c>
    </row>
    <row r="24" spans="1:3" ht="26.45">
      <c r="A24" s="76"/>
      <c r="B24" s="51" t="s">
        <v>52</v>
      </c>
      <c r="C24" s="32">
        <f ca="1">OFFSET(Bewertungen!AP18,Bewertungen!$AS$10,0)</f>
        <v>0</v>
      </c>
    </row>
    <row r="25" spans="1:3" ht="26.45">
      <c r="A25" s="74" t="s">
        <v>80</v>
      </c>
      <c r="B25" s="52" t="s">
        <v>54</v>
      </c>
      <c r="C25" s="31">
        <f ca="1">OFFSET(Bewertungen!AP19,Bewertungen!$AS$10,0)</f>
        <v>0</v>
      </c>
    </row>
    <row r="26" spans="1:3" ht="26.45">
      <c r="A26" s="75"/>
      <c r="B26" s="50" t="s">
        <v>81</v>
      </c>
      <c r="C26" s="32">
        <f ca="1">OFFSET(Bewertungen!AP20,Bewertungen!$AS$10,0)</f>
        <v>0</v>
      </c>
    </row>
    <row r="27" spans="1:3" ht="26.45">
      <c r="A27" s="75"/>
      <c r="B27" s="50" t="s">
        <v>56</v>
      </c>
      <c r="C27" s="32">
        <f ca="1">OFFSET(Bewertungen!AP21,Bewertungen!$AS$10,0)</f>
        <v>0</v>
      </c>
    </row>
    <row r="28" spans="1:3" ht="39.6">
      <c r="A28" s="75"/>
      <c r="B28" s="50" t="s">
        <v>57</v>
      </c>
      <c r="C28" s="32">
        <f ca="1">OFFSET(Bewertungen!AP22,Bewertungen!$AS$10,0)</f>
        <v>0</v>
      </c>
    </row>
    <row r="29" spans="1:3">
      <c r="A29" s="75"/>
      <c r="B29" s="50" t="s">
        <v>58</v>
      </c>
      <c r="C29" s="32">
        <f ca="1">OFFSET(Bewertungen!AP23,Bewertungen!$AS$10,0)</f>
        <v>0</v>
      </c>
    </row>
    <row r="30" spans="1:3" ht="26.45">
      <c r="A30" s="75"/>
      <c r="B30" s="50" t="s">
        <v>59</v>
      </c>
      <c r="C30" s="32">
        <f ca="1">OFFSET(Bewertungen!AP24,Bewertungen!$AS$10,0)</f>
        <v>0</v>
      </c>
    </row>
    <row r="31" spans="1:3" ht="26.45">
      <c r="A31" s="76"/>
      <c r="B31" s="51" t="s">
        <v>60</v>
      </c>
      <c r="C31" s="33">
        <f ca="1">OFFSET(Bewertungen!AP25,Bewertungen!$AS$10,0)</f>
        <v>0</v>
      </c>
    </row>
    <row r="32" spans="1:3" ht="26.45">
      <c r="A32" s="74" t="s">
        <v>61</v>
      </c>
      <c r="B32" s="49" t="s">
        <v>62</v>
      </c>
      <c r="C32" s="32">
        <f ca="1">OFFSET(Bewertungen!AP26,Bewertungen!$AS$10,0)</f>
        <v>0</v>
      </c>
    </row>
    <row r="33" spans="1:3" ht="66">
      <c r="A33" s="75"/>
      <c r="B33" s="50" t="s">
        <v>63</v>
      </c>
      <c r="C33" s="32">
        <f ca="1">OFFSET(Bewertungen!AP27,Bewertungen!$AS$10,0)</f>
        <v>0</v>
      </c>
    </row>
    <row r="34" spans="1:3" ht="26.45">
      <c r="A34" s="75"/>
      <c r="B34" s="50" t="s">
        <v>64</v>
      </c>
      <c r="C34" s="32">
        <f ca="1">OFFSET(Bewertungen!AP28,Bewertungen!$AS$10,0)</f>
        <v>0</v>
      </c>
    </row>
    <row r="35" spans="1:3">
      <c r="A35" s="75"/>
      <c r="B35" s="50" t="s">
        <v>82</v>
      </c>
      <c r="C35" s="32">
        <f ca="1">OFFSET(Bewertungen!AP29,Bewertungen!$AS$10,0)</f>
        <v>0</v>
      </c>
    </row>
    <row r="36" spans="1:3" ht="26.45">
      <c r="A36" s="76"/>
      <c r="B36" s="51" t="s">
        <v>83</v>
      </c>
      <c r="C36" s="33">
        <f ca="1">OFFSET(Bewertungen!AP30,Bewertungen!$AS$10,0)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8DB5D-CE8F-49F8-A0F2-CFD564BE97B7}">
  <dimension ref="A1:C36"/>
  <sheetViews>
    <sheetView view="pageLayout" topLeftCell="A28" zoomScale="82" zoomScaleNormal="80" zoomScalePageLayoutView="82" workbookViewId="0">
      <selection activeCell="C36" sqref="C36"/>
    </sheetView>
  </sheetViews>
  <sheetFormatPr defaultColWidth="10.7109375" defaultRowHeight="13.15"/>
  <cols>
    <col min="1" max="1" width="19.42578125" style="28" customWidth="1"/>
    <col min="2" max="2" width="50.7109375" style="28" customWidth="1"/>
    <col min="3" max="3" width="10.7109375" style="28" customWidth="1"/>
    <col min="4" max="16384" width="10.7109375" style="28"/>
  </cols>
  <sheetData>
    <row r="1" spans="1:3">
      <c r="A1" s="28" t="s">
        <v>68</v>
      </c>
      <c r="B1" s="28">
        <f>Uebung!B3</f>
        <v>0</v>
      </c>
    </row>
    <row r="2" spans="1:3">
      <c r="A2" s="28" t="s">
        <v>69</v>
      </c>
      <c r="B2" s="28">
        <f>Uebung!B4</f>
        <v>0</v>
      </c>
    </row>
    <row r="3" spans="1:3">
      <c r="A3" s="28" t="s">
        <v>70</v>
      </c>
      <c r="B3" s="28">
        <f>Uebung!B5</f>
        <v>0</v>
      </c>
    </row>
    <row r="5" spans="1:3">
      <c r="A5" s="28" t="s">
        <v>71</v>
      </c>
      <c r="B5" s="28">
        <f ca="1">OFFSET(Bewertungen!$AQ$7,Bewertungen!$AS$10,0)</f>
        <v>0</v>
      </c>
    </row>
    <row r="6" spans="1:3">
      <c r="A6" s="28" t="s">
        <v>72</v>
      </c>
      <c r="B6" s="28">
        <f ca="1">OFFSET(Bewertungen!$AQ$8,Bewertungen!$AS$10,0)</f>
        <v>0</v>
      </c>
    </row>
    <row r="8" spans="1:3">
      <c r="A8" s="28" t="s">
        <v>73</v>
      </c>
    </row>
    <row r="9" spans="1:3">
      <c r="A9" s="28" t="s">
        <v>74</v>
      </c>
      <c r="B9" s="29" t="s">
        <v>36</v>
      </c>
    </row>
    <row r="10" spans="1:3">
      <c r="B10" s="29" t="s">
        <v>37</v>
      </c>
    </row>
    <row r="11" spans="1:3">
      <c r="B11" s="29" t="s">
        <v>38</v>
      </c>
    </row>
    <row r="12" spans="1:3">
      <c r="B12" s="29" t="s">
        <v>39</v>
      </c>
    </row>
    <row r="13" spans="1:3">
      <c r="B13" s="30" t="s">
        <v>75</v>
      </c>
      <c r="C13" s="27">
        <f ca="1">OFFSET(Bewertungen!$AQ$32,Bewertungen!$AS$10,0)</f>
        <v>0</v>
      </c>
    </row>
    <row r="15" spans="1:3">
      <c r="A15" s="42" t="s">
        <v>41</v>
      </c>
      <c r="B15" s="45" t="s">
        <v>42</v>
      </c>
      <c r="C15" s="43" t="s">
        <v>76</v>
      </c>
    </row>
    <row r="16" spans="1:3" ht="13.9" thickBot="1">
      <c r="A16" s="46"/>
      <c r="B16" s="47"/>
      <c r="C16" s="44"/>
    </row>
    <row r="17" spans="1:3" ht="26.45">
      <c r="A17" s="34" t="s">
        <v>43</v>
      </c>
      <c r="B17" s="39" t="s">
        <v>44</v>
      </c>
      <c r="C17" s="53">
        <f ca="1">OFFSET(Bewertungen!AQ11,Bewertungen!$AS$10,0)</f>
        <v>0</v>
      </c>
    </row>
    <row r="18" spans="1:3" ht="26.45">
      <c r="A18" s="74" t="s">
        <v>77</v>
      </c>
      <c r="B18" s="49" t="s">
        <v>78</v>
      </c>
      <c r="C18" s="31">
        <f ca="1">OFFSET(Bewertungen!AQ12,Bewertungen!$AS$10,0)</f>
        <v>0</v>
      </c>
    </row>
    <row r="19" spans="1:3">
      <c r="A19" s="75"/>
      <c r="B19" s="50" t="s">
        <v>79</v>
      </c>
      <c r="C19" s="32">
        <f ca="1">OFFSET(Bewertungen!AQ13,Bewertungen!$AS$10,0)</f>
        <v>0</v>
      </c>
    </row>
    <row r="20" spans="1:3">
      <c r="A20" s="75"/>
      <c r="B20" s="50" t="s">
        <v>48</v>
      </c>
      <c r="C20" s="32">
        <f ca="1">OFFSET(Bewertungen!AQ14,Bewertungen!$AS$10,0)</f>
        <v>0</v>
      </c>
    </row>
    <row r="21" spans="1:3" ht="39.6">
      <c r="A21" s="75"/>
      <c r="B21" s="50" t="s">
        <v>49</v>
      </c>
      <c r="C21" s="32">
        <f ca="1">OFFSET(Bewertungen!AQ15,Bewertungen!$AS$10,0)</f>
        <v>0</v>
      </c>
    </row>
    <row r="22" spans="1:3" ht="26.45">
      <c r="A22" s="75"/>
      <c r="B22" s="50" t="s">
        <v>50</v>
      </c>
      <c r="C22" s="32">
        <f ca="1">OFFSET(Bewertungen!AQ16,Bewertungen!$AS$10,0)</f>
        <v>0</v>
      </c>
    </row>
    <row r="23" spans="1:3" ht="26.45">
      <c r="A23" s="75"/>
      <c r="B23" s="50" t="s">
        <v>51</v>
      </c>
      <c r="C23" s="32">
        <f ca="1">OFFSET(Bewertungen!AQ17,Bewertungen!$AS$10,0)</f>
        <v>0</v>
      </c>
    </row>
    <row r="24" spans="1:3" ht="26.45">
      <c r="A24" s="76"/>
      <c r="B24" s="51" t="s">
        <v>52</v>
      </c>
      <c r="C24" s="32">
        <f ca="1">OFFSET(Bewertungen!AQ18,Bewertungen!$AS$10,0)</f>
        <v>0</v>
      </c>
    </row>
    <row r="25" spans="1:3" ht="26.45">
      <c r="A25" s="74" t="s">
        <v>80</v>
      </c>
      <c r="B25" s="52" t="s">
        <v>54</v>
      </c>
      <c r="C25" s="31">
        <f ca="1">OFFSET(Bewertungen!AQ19,Bewertungen!$AS$10,0)</f>
        <v>0</v>
      </c>
    </row>
    <row r="26" spans="1:3" ht="26.45">
      <c r="A26" s="75"/>
      <c r="B26" s="50" t="s">
        <v>81</v>
      </c>
      <c r="C26" s="32">
        <f ca="1">OFFSET(Bewertungen!AQ20,Bewertungen!$AS$10,0)</f>
        <v>0</v>
      </c>
    </row>
    <row r="27" spans="1:3" ht="26.45">
      <c r="A27" s="75"/>
      <c r="B27" s="50" t="s">
        <v>56</v>
      </c>
      <c r="C27" s="32">
        <f ca="1">OFFSET(Bewertungen!AQ21,Bewertungen!$AS$10,0)</f>
        <v>0</v>
      </c>
    </row>
    <row r="28" spans="1:3" ht="39.6">
      <c r="A28" s="75"/>
      <c r="B28" s="50" t="s">
        <v>57</v>
      </c>
      <c r="C28" s="32">
        <f ca="1">OFFSET(Bewertungen!AQ22,Bewertungen!$AS$10,0)</f>
        <v>0</v>
      </c>
    </row>
    <row r="29" spans="1:3">
      <c r="A29" s="75"/>
      <c r="B29" s="50" t="s">
        <v>58</v>
      </c>
      <c r="C29" s="32">
        <f ca="1">OFFSET(Bewertungen!AQ23,Bewertungen!$AS$10,0)</f>
        <v>0</v>
      </c>
    </row>
    <row r="30" spans="1:3" ht="26.45">
      <c r="A30" s="75"/>
      <c r="B30" s="50" t="s">
        <v>59</v>
      </c>
      <c r="C30" s="32">
        <f ca="1">OFFSET(Bewertungen!AQ24,Bewertungen!$AS$10,0)</f>
        <v>0</v>
      </c>
    </row>
    <row r="31" spans="1:3" ht="26.45">
      <c r="A31" s="76"/>
      <c r="B31" s="51" t="s">
        <v>60</v>
      </c>
      <c r="C31" s="33">
        <f ca="1">OFFSET(Bewertungen!AQ25,Bewertungen!$AS$10,0)</f>
        <v>0</v>
      </c>
    </row>
    <row r="32" spans="1:3" ht="26.45">
      <c r="A32" s="74" t="s">
        <v>61</v>
      </c>
      <c r="B32" s="49" t="s">
        <v>62</v>
      </c>
      <c r="C32" s="32">
        <f ca="1">OFFSET(Bewertungen!AQ26,Bewertungen!$AS$10,0)</f>
        <v>0</v>
      </c>
    </row>
    <row r="33" spans="1:3" ht="66">
      <c r="A33" s="75"/>
      <c r="B33" s="50" t="s">
        <v>63</v>
      </c>
      <c r="C33" s="32">
        <f ca="1">OFFSET(Bewertungen!AQ27,Bewertungen!$AS$10,0)</f>
        <v>0</v>
      </c>
    </row>
    <row r="34" spans="1:3" ht="26.45">
      <c r="A34" s="75"/>
      <c r="B34" s="50" t="s">
        <v>64</v>
      </c>
      <c r="C34" s="32">
        <f ca="1">OFFSET(Bewertungen!AQ28,Bewertungen!$AS$10,0)</f>
        <v>0</v>
      </c>
    </row>
    <row r="35" spans="1:3">
      <c r="A35" s="75"/>
      <c r="B35" s="50" t="s">
        <v>82</v>
      </c>
      <c r="C35" s="32">
        <f ca="1">OFFSET(Bewertungen!AQ29,Bewertungen!$AS$10,0)</f>
        <v>0</v>
      </c>
    </row>
    <row r="36" spans="1:3" ht="26.45">
      <c r="A36" s="76"/>
      <c r="B36" s="51" t="s">
        <v>83</v>
      </c>
      <c r="C36" s="33">
        <f ca="1">OFFSET(Bewertungen!AQ30,Bewertungen!$AS$10,0)</f>
        <v>0</v>
      </c>
    </row>
  </sheetData>
  <sheetProtection sheet="1" objects="1" scenarios="1"/>
  <mergeCells count="3">
    <mergeCell ref="A18:A24"/>
    <mergeCell ref="A25:A31"/>
    <mergeCell ref="A32:A36"/>
  </mergeCell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A71E891A511D040A52CA52D008DEB36" ma:contentTypeVersion="10" ma:contentTypeDescription="Create a new document." ma:contentTypeScope="" ma:versionID="c77faa4d502040c57c0b36fdfc19836d">
  <xsd:schema xmlns:xsd="http://www.w3.org/2001/XMLSchema" xmlns:xs="http://www.w3.org/2001/XMLSchema" xmlns:p="http://schemas.microsoft.com/office/2006/metadata/properties" xmlns:ns2="e0647eb4-fdd8-4a76-905c-ef029484ffcd" xmlns:ns3="884d299c-5010-4321-b642-613c40d795bb" targetNamespace="http://schemas.microsoft.com/office/2006/metadata/properties" ma:root="true" ma:fieldsID="dcf4d98119bc862fe7e639ceb3c68563" ns2:_="" ns3:_="">
    <xsd:import namespace="e0647eb4-fdd8-4a76-905c-ef029484ffcd"/>
    <xsd:import namespace="884d299c-5010-4321-b642-613c40d795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647eb4-fdd8-4a76-905c-ef029484ff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ba07055-5ffd-4acb-bc18-97989f07bc2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84d299c-5010-4321-b642-613c40d795b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b4c1be4-22e4-443a-8f9b-7129b2e79c72}" ma:internalName="TaxCatchAll" ma:showField="CatchAllData" ma:web="884d299c-5010-4321-b642-613c40d795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84d299c-5010-4321-b642-613c40d795bb" xsi:nil="true"/>
    <lcf76f155ced4ddcb4097134ff3c332f xmlns="e0647eb4-fdd8-4a76-905c-ef029484ffc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877C61B-EA4E-484A-AE16-C7CD38BB92DB}"/>
</file>

<file path=customXml/itemProps2.xml><?xml version="1.0" encoding="utf-8"?>
<ds:datastoreItem xmlns:ds="http://schemas.openxmlformats.org/officeDocument/2006/customXml" ds:itemID="{F7E42810-F0B4-4054-81DF-78498BEDB00E}"/>
</file>

<file path=customXml/itemProps3.xml><?xml version="1.0" encoding="utf-8"?>
<ds:datastoreItem xmlns:ds="http://schemas.openxmlformats.org/officeDocument/2006/customXml" ds:itemID="{1311A0D2-CF4C-4176-99B9-95E6B88B93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Picht-Wiggering</dc:creator>
  <cp:keywords/>
  <dc:description/>
  <cp:lastModifiedBy>Merle Warnecke</cp:lastModifiedBy>
  <cp:revision/>
  <dcterms:created xsi:type="dcterms:W3CDTF">2025-06-02T12:39:55Z</dcterms:created>
  <dcterms:modified xsi:type="dcterms:W3CDTF">2026-02-04T13:06:51Z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0x0101004A71E891A511D040A52CA52D008DEB36</vt:lpwstr>
  </property>
  <property fmtid="{D5CDD505-2E9C-101B-9397-08002B2CF9AE}" pid="3" name="MediaServiceImageTags">
    <vt:lpwstr/>
  </property>
</Properties>
</file>